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BDULLAH\Desktop\ABDULLAH\EXCEL\PRACTICAL\ASSINGMENT ANSWERS\"/>
    </mc:Choice>
  </mc:AlternateContent>
  <xr:revisionPtr revIDLastSave="0" documentId="13_ncr:1_{ACBCFDEE-DF38-4555-8762-58EEA56D93F5}" xr6:coauthVersionLast="47" xr6:coauthVersionMax="47" xr10:uidLastSave="{00000000-0000-0000-0000-000000000000}"/>
  <bookViews>
    <workbookView xWindow="-108" yWindow="-108" windowWidth="23256" windowHeight="12456" firstSheet="13" activeTab="12" xr2:uid="{203E6727-5D04-492A-B646-9E01B0D25031}"/>
  </bookViews>
  <sheets>
    <sheet name="Q2 CHARTS" sheetId="4" r:id="rId1"/>
    <sheet name="Q1 CHARTS" sheetId="3" r:id="rId2"/>
    <sheet name="Q3 CHARTS" sheetId="5" r:id="rId3"/>
    <sheet name="Q4 CHARTS" sheetId="6" r:id="rId4"/>
    <sheet name="Q7 CHARTS" sheetId="9" r:id="rId5"/>
    <sheet name="Q8 CHARTS" sheetId="10" r:id="rId6"/>
    <sheet name="DATA VALIDATION" sheetId="11" r:id="rId7"/>
    <sheet name="Q1.2 FORECAST" sheetId="14" r:id="rId8"/>
    <sheet name=" Q1 FORECAST" sheetId="13" r:id="rId9"/>
    <sheet name="Q2.2 FORECAST" sheetId="17" r:id="rId10"/>
    <sheet name="GOAL SEEK" sheetId="18" r:id="rId11"/>
    <sheet name=" Q1, Q2 Scenario Summary" sheetId="20" r:id="rId12"/>
    <sheet name="  Q3,Q4 Scenario Summary" sheetId="21" r:id="rId13"/>
    <sheet name="SECNARIO MANAGER DATA" sheetId="19" r:id="rId14"/>
    <sheet name="Q2 FORECAST" sheetId="16" r:id="rId15"/>
    <sheet name="DATA SHEET" sheetId="1" r:id="rId16"/>
    <sheet name="Q5 , Q6 CHARTS" sheetId="8" r:id="rId17"/>
  </sheets>
  <definedNames>
    <definedName name="_xlnm._FilterDatabase" localSheetId="6" hidden="1">'DATA VALIDATION'!$A$2:$K$150</definedName>
    <definedName name="_xlchart.v1.0" hidden="1">'Q5 , Q6 CHARTS'!$B$50:$B$72</definedName>
    <definedName name="_xlchart.v1.1" hidden="1">'Q5 , Q6 CHARTS'!$C$49</definedName>
    <definedName name="_xlchart.v1.2" hidden="1">'Q5 , Q6 CHARTS'!$C$50:$C$72</definedName>
    <definedName name="_xlchart.v1.3" hidden="1">'Q5 , Q6 CHARTS'!$D$49</definedName>
    <definedName name="_xlchart.v1.4" hidden="1">'Q5 , Q6 CHARTS'!$D$50:$D$72</definedName>
  </definedName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8" l="1"/>
  <c r="G26" i="18"/>
  <c r="G17" i="18"/>
  <c r="G8" i="18"/>
  <c r="B6" i="18"/>
  <c r="A27" i="1"/>
  <c r="C15" i="17"/>
  <c r="C17" i="17"/>
  <c r="C18" i="17"/>
  <c r="C16" i="17"/>
  <c r="C15" i="16"/>
  <c r="C16" i="16"/>
  <c r="C17" i="16"/>
  <c r="C18" i="16"/>
  <c r="C15" i="14"/>
  <c r="C16" i="14"/>
  <c r="C17" i="14"/>
  <c r="C18" i="14"/>
  <c r="C15" i="13"/>
  <c r="C16" i="13"/>
  <c r="C17" i="13"/>
  <c r="C18" i="13"/>
  <c r="D18" i="13"/>
  <c r="E18" i="13"/>
  <c r="D17" i="13"/>
  <c r="E17" i="13"/>
  <c r="D16" i="13"/>
  <c r="E16" i="13"/>
  <c r="E15" i="13"/>
  <c r="D15" i="13"/>
  <c r="D18" i="14"/>
  <c r="D17" i="14"/>
  <c r="E17" i="14"/>
  <c r="D16" i="14"/>
  <c r="E16" i="14"/>
  <c r="D15" i="14"/>
  <c r="E15" i="14"/>
  <c r="E18" i="14"/>
  <c r="E18" i="16"/>
  <c r="D18" i="16"/>
  <c r="E16" i="16"/>
  <c r="E15" i="16"/>
  <c r="E17" i="16"/>
  <c r="D16" i="16"/>
  <c r="D15" i="16"/>
  <c r="D17" i="16"/>
  <c r="D16" i="17"/>
  <c r="E16" i="17"/>
  <c r="D18" i="17"/>
  <c r="E18" i="17"/>
  <c r="D17" i="17"/>
  <c r="E17" i="17"/>
  <c r="D15" i="17"/>
  <c r="E15" i="17"/>
</calcChain>
</file>

<file path=xl/sharedStrings.xml><?xml version="1.0" encoding="utf-8"?>
<sst xmlns="http://schemas.openxmlformats.org/spreadsheetml/2006/main" count="1718" uniqueCount="146">
  <si>
    <t>Row ID</t>
  </si>
  <si>
    <t>Ship Date</t>
  </si>
  <si>
    <t>Customer ID</t>
  </si>
  <si>
    <t>Customer Name</t>
  </si>
  <si>
    <t>Postal Code</t>
  </si>
  <si>
    <t>Product ID</t>
  </si>
  <si>
    <t>Category</t>
  </si>
  <si>
    <t>Sub-Category</t>
  </si>
  <si>
    <t>Sales</t>
  </si>
  <si>
    <t>QTY</t>
  </si>
  <si>
    <t>Profit</t>
  </si>
  <si>
    <t>CG-12520</t>
  </si>
  <si>
    <t>Claire Gute</t>
  </si>
  <si>
    <t>FUR-BO-10001798</t>
  </si>
  <si>
    <t>Furniture</t>
  </si>
  <si>
    <t>Bookcases</t>
  </si>
  <si>
    <t>FUR-CH-10000454</t>
  </si>
  <si>
    <t>Chairs</t>
  </si>
  <si>
    <t>DV-13045</t>
  </si>
  <si>
    <t>Darrin Van Huff</t>
  </si>
  <si>
    <t>OFF-LA-10000240</t>
  </si>
  <si>
    <t>Office Supplies</t>
  </si>
  <si>
    <t>Labels</t>
  </si>
  <si>
    <t>SO-20335</t>
  </si>
  <si>
    <t>Sean O'Donnell</t>
  </si>
  <si>
    <t>FUR-TA-10000577</t>
  </si>
  <si>
    <t>Tables</t>
  </si>
  <si>
    <t>OFF-ST-10000760</t>
  </si>
  <si>
    <t>Storage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</si>
  <si>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</si>
  <si>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</si>
  <si>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</si>
  <si>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</si>
  <si>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</si>
  <si>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</si>
  <si>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</si>
  <si>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</si>
  <si>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</si>
  <si>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</si>
  <si>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</si>
  <si>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</si>
  <si>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</si>
  <si>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</si>
  <si>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</si>
  <si>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AA-10480</t>
  </si>
  <si>
    <t>Andrew Allen</t>
  </si>
  <si>
    <t>OFF-PA-10002365</t>
  </si>
  <si>
    <t>Paper</t>
  </si>
  <si>
    <t>IM-15070</t>
  </si>
  <si>
    <t>Irene Maddox</t>
  </si>
  <si>
    <t>OFF-BI-10003656</t>
  </si>
  <si>
    <t>HP-14815</t>
  </si>
  <si>
    <t>Harold Pawlan</t>
  </si>
  <si>
    <t>OFF-AP-10002311</t>
  </si>
  <si>
    <t>OFF-BI-10000756</t>
  </si>
  <si>
    <t>PK-19075</t>
  </si>
  <si>
    <t>Pete Kriz</t>
  </si>
  <si>
    <t>OFF-ST-10004186</t>
  </si>
  <si>
    <t>AG-10270</t>
  </si>
  <si>
    <t>Alejandro Grove</t>
  </si>
  <si>
    <t>OFF-ST-10000107</t>
  </si>
  <si>
    <t>ZD-21925</t>
  </si>
  <si>
    <t>Zuschuss Donatelli</t>
  </si>
  <si>
    <t>OFF-AR-10003056</t>
  </si>
  <si>
    <t>TEC-PH-10001949</t>
  </si>
  <si>
    <t>OFF-BI-10002215</t>
  </si>
  <si>
    <t>KB-16585</t>
  </si>
  <si>
    <t>Ken Black</t>
  </si>
  <si>
    <t>OFF-AR-10000246</t>
  </si>
  <si>
    <t>OFF-AP-10001492</t>
  </si>
  <si>
    <t>DATA</t>
  </si>
  <si>
    <t>1) Find total sales of each Categories and compare the sales of each Category using chart.</t>
  </si>
  <si>
    <t>Sum of Sales</t>
  </si>
  <si>
    <t>Row Labels</t>
  </si>
  <si>
    <t>Grand Total</t>
  </si>
  <si>
    <t>2) What percentage does each Category contributes in total Profit.</t>
  </si>
  <si>
    <t>Sum of Profit</t>
  </si>
  <si>
    <t>3) Find the Sales trends.</t>
  </si>
  <si>
    <t>2014</t>
  </si>
  <si>
    <t>2015</t>
  </si>
  <si>
    <t>2016</t>
  </si>
  <si>
    <t>2017</t>
  </si>
  <si>
    <t>4)Show the Difference in total sale and profit. Of each Sub_category.</t>
  </si>
  <si>
    <t xml:space="preserve">5) Compare the sales received from different Category (hints: use Scatter Chart, don’t use Pivot table.) </t>
  </si>
  <si>
    <t xml:space="preserve"> 6) Compare the Profit and Sales received from different Category (hints: use Treemap, don't use pivot table) </t>
  </si>
  <si>
    <t xml:space="preserve"> 7) Use column Customer Name and Qty to check total Qty of items each person purchased. (Use Recommended Charts.)</t>
  </si>
  <si>
    <t>Sum of QTY</t>
  </si>
  <si>
    <t xml:space="preserve"> 8) Use SparkLines Chart to show Sales trends in single cell (i.e. N17).</t>
  </si>
  <si>
    <t>Quantity</t>
  </si>
  <si>
    <t>Q9)Convert The Row_Id And Sales To Number Then Decrease Value After Decimal.</t>
  </si>
  <si>
    <t>Q10)Set rule on above 2 column to WHOLE NUMBER so that it can only accept whole number.</t>
  </si>
  <si>
    <t xml:space="preserve"> Q11)Convert the Sales and Profit into ACCOUNTS.</t>
  </si>
  <si>
    <t xml:space="preserve"> Q12) Set rule on that columns to accept DECIMAL and whole number both.</t>
  </si>
  <si>
    <t xml:space="preserve"> Q13)Convert all the columns such as Customer Name, Category, Sub-Category to TEXT.</t>
  </si>
  <si>
    <t>Q14)Set rule to accept only 15 char in above columns.</t>
  </si>
  <si>
    <t>Q15) Set rule on Category such that it show warring and accepts Char more then 15.</t>
  </si>
  <si>
    <t xml:space="preserve"> Q16) Set rule on Ship Date to accept the date range from 1-12-2014 to 31-12-216 now on.</t>
  </si>
  <si>
    <t xml:space="preserve"> Q17)Use data validation to show message "Enter Whole number only" when any Sales cell is selected.</t>
  </si>
  <si>
    <t>Q 18) Circle all the data or cells which are not as per the data validation rules.</t>
  </si>
  <si>
    <t xml:space="preserve">Dates </t>
  </si>
  <si>
    <t>Average Views</t>
  </si>
  <si>
    <t xml:space="preserve"> Average Views </t>
  </si>
  <si>
    <t>Forecast( Average Views )</t>
  </si>
  <si>
    <t>Lower Confidence Bound( Average Views )</t>
  </si>
  <si>
    <t>Upper Confidence Bound( Average Views )</t>
  </si>
  <si>
    <t xml:space="preserve"> Q1) Forecast the Average Views of month 2-3-2025.</t>
  </si>
  <si>
    <t>Use the Line Chart to Forecast the same.</t>
  </si>
  <si>
    <t>Q) 1.2</t>
  </si>
  <si>
    <t>Q2) Forecast the next few months Average Views.</t>
  </si>
  <si>
    <t>Q 2.2) Use the Line Chart to Forecast the same.</t>
  </si>
  <si>
    <t>Loan Payment</t>
  </si>
  <si>
    <t>Rate(years)</t>
  </si>
  <si>
    <t>Term (Months)</t>
  </si>
  <si>
    <t>Loan Amount</t>
  </si>
  <si>
    <t>Payment</t>
  </si>
  <si>
    <t>Q1) What will be RATE so that you should pay 500/- per month.</t>
  </si>
  <si>
    <t>Q2) What will be RATE so you should Pay 600/- per month.</t>
  </si>
  <si>
    <t xml:space="preserve"> Q3) What will be Terms to pay 600/- per month.</t>
  </si>
  <si>
    <t>Q4) What wil be Terms to pay 300/- per month.</t>
  </si>
  <si>
    <t>Monthly Sales</t>
  </si>
  <si>
    <t>Monthly Costs</t>
  </si>
  <si>
    <t>Marketing</t>
  </si>
  <si>
    <t>Salaries</t>
  </si>
  <si>
    <t>Office Rent</t>
  </si>
  <si>
    <t>Miscellaneous</t>
  </si>
  <si>
    <t>Total Costs</t>
  </si>
  <si>
    <t>Q1) What will be Profit if Office Rent will be 10,000 or 5,000 or 3,000 or 1000/- Rs.</t>
  </si>
  <si>
    <t>$B$6</t>
  </si>
  <si>
    <t>$B$5</t>
  </si>
  <si>
    <t>$B$11</t>
  </si>
  <si>
    <t>$E$3</t>
  </si>
  <si>
    <t>Created by ABDULLAH on 17-12-2025
Modified by ABDULLAH on 17-12-2025</t>
  </si>
  <si>
    <t>Created by ABDULLAH on 17-12-2025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</si>
  <si>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</si>
  <si>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</si>
  <si>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</si>
  <si>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</si>
  <si>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</si>
  <si>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</si>
  <si>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</si>
  <si>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 xml:space="preserve"> Q2) Give me a summary for each secinario.</t>
  </si>
  <si>
    <t>Q3) What will be Profit if Total cost increase by 10,000 or 20,000/-.</t>
  </si>
  <si>
    <t>Q4) Give a summary as well.</t>
  </si>
  <si>
    <t>$B$9</t>
  </si>
  <si>
    <t>10000 TOTAL COST INCREASES</t>
  </si>
  <si>
    <t>TOTAL COST INCREASES BY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</si>
</sst>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6" formatCode="&quot;₹&quot;\ #,##0"/>
    <numFmt numFmtId="167" formatCode="&quot;₹&quot;\ #,##0.00"/>
  </numFmts>
  <fonts count="23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Calibri"/>
      <family val="2"/>
    </font>
    <font>
      <sz val="10"/>
      <name val="Calibri"/>
      <family val="2"/>
    </font>
    <font>
      <sz val="20"/>
      <color theme="0"/>
      <name val="Calibri"/>
      <family val="2"/>
    </font>
    <font>
      <b/>
      <sz val="14"/>
      <color rgb="FF000000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8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14" fontId="0" fillId="0" borderId="0" xfId="0" applyNumberFormat="1"/>
    <xf numFmtId="2" fontId="0" fillId="0" borderId="5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2" fontId="0" fillId="0" borderId="8" xfId="0" applyNumberFormat="1" applyBorder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0" fontId="0" fillId="4" borderId="0" xfId="0" applyFill="1"/>
    <xf numFmtId="0" fontId="2" fillId="0" borderId="7" xfId="0" applyFont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1" fontId="8" fillId="2" borderId="1" xfId="0" applyNumberFormat="1" applyFont="1" applyFill="1" applyBorder="1"/>
    <xf numFmtId="1" fontId="0" fillId="0" borderId="4" xfId="0" applyNumberFormat="1" applyBorder="1"/>
    <xf numFmtId="1" fontId="0" fillId="0" borderId="6" xfId="0" applyNumberFormat="1" applyBorder="1"/>
    <xf numFmtId="1" fontId="1" fillId="2" borderId="2" xfId="0" applyNumberFormat="1" applyFont="1" applyFill="1" applyBorder="1"/>
    <xf numFmtId="1" fontId="0" fillId="0" borderId="0" xfId="0" applyNumberFormat="1"/>
    <xf numFmtId="1" fontId="0" fillId="0" borderId="7" xfId="0" applyNumberFormat="1" applyBorder="1"/>
    <xf numFmtId="0" fontId="9" fillId="3" borderId="9" xfId="0" applyFont="1" applyFill="1" applyBorder="1" applyAlignment="1">
      <alignment horizontal="center"/>
    </xf>
    <xf numFmtId="44" fontId="1" fillId="2" borderId="2" xfId="0" applyNumberFormat="1" applyFont="1" applyFill="1" applyBorder="1"/>
    <xf numFmtId="44" fontId="0" fillId="0" borderId="0" xfId="0" applyNumberFormat="1"/>
    <xf numFmtId="44" fontId="0" fillId="0" borderId="7" xfId="0" applyNumberFormat="1" applyBorder="1"/>
    <xf numFmtId="44" fontId="1" fillId="2" borderId="3" xfId="0" applyNumberFormat="1" applyFont="1" applyFill="1" applyBorder="1"/>
    <xf numFmtId="44" fontId="0" fillId="0" borderId="5" xfId="0" applyNumberFormat="1" applyBorder="1"/>
    <xf numFmtId="44" fontId="0" fillId="0" borderId="8" xfId="0" applyNumberFormat="1" applyBorder="1"/>
    <xf numFmtId="49" fontId="1" fillId="2" borderId="2" xfId="0" applyNumberFormat="1" applyFont="1" applyFill="1" applyBorder="1"/>
    <xf numFmtId="49" fontId="0" fillId="0" borderId="0" xfId="0" applyNumberFormat="1"/>
    <xf numFmtId="49" fontId="0" fillId="0" borderId="7" xfId="0" applyNumberFormat="1" applyBorder="1"/>
    <xf numFmtId="49" fontId="1" fillId="2" borderId="2" xfId="2" applyNumberFormat="1" applyFont="1" applyFill="1" applyBorder="1"/>
    <xf numFmtId="49" fontId="0" fillId="0" borderId="0" xfId="2" applyNumberFormat="1" applyFont="1"/>
    <xf numFmtId="49" fontId="0" fillId="0" borderId="7" xfId="2" applyNumberFormat="1" applyFont="1" applyBorder="1"/>
    <xf numFmtId="11" fontId="1" fillId="2" borderId="2" xfId="0" applyNumberFormat="1" applyFont="1" applyFill="1" applyBorder="1"/>
    <xf numFmtId="11" fontId="0" fillId="0" borderId="0" xfId="0" applyNumberFormat="1"/>
    <xf numFmtId="11" fontId="0" fillId="0" borderId="7" xfId="0" applyNumberFormat="1" applyBorder="1"/>
    <xf numFmtId="14" fontId="8" fillId="2" borderId="2" xfId="0" applyNumberFormat="1" applyFont="1" applyFill="1" applyBorder="1"/>
    <xf numFmtId="11" fontId="8" fillId="2" borderId="2" xfId="0" applyNumberFormat="1" applyFont="1" applyFill="1" applyBorder="1"/>
    <xf numFmtId="1" fontId="9" fillId="3" borderId="9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43" fontId="0" fillId="0" borderId="0" xfId="0" applyNumberFormat="1"/>
    <xf numFmtId="0" fontId="10" fillId="2" borderId="10" xfId="0" applyFont="1" applyFill="1" applyBorder="1"/>
    <xf numFmtId="43" fontId="10" fillId="2" borderId="10" xfId="1" applyFont="1" applyFill="1" applyBorder="1"/>
    <xf numFmtId="14" fontId="0" fillId="0" borderId="10" xfId="0" applyNumberFormat="1" applyBorder="1"/>
    <xf numFmtId="43" fontId="0" fillId="0" borderId="10" xfId="1" applyFont="1" applyBorder="1"/>
    <xf numFmtId="0" fontId="7" fillId="0" borderId="0" xfId="0" applyFont="1"/>
    <xf numFmtId="0" fontId="9" fillId="3" borderId="0" xfId="0" applyFont="1" applyFill="1"/>
    <xf numFmtId="0" fontId="11" fillId="5" borderId="10" xfId="0" applyFont="1" applyFill="1" applyBorder="1" applyAlignment="1">
      <alignment horizontal="center"/>
    </xf>
    <xf numFmtId="0" fontId="12" fillId="0" borderId="10" xfId="0" applyFont="1" applyBorder="1"/>
    <xf numFmtId="0" fontId="11" fillId="0" borderId="10" xfId="0" applyFont="1" applyBorder="1"/>
    <xf numFmtId="10" fontId="11" fillId="0" borderId="10" xfId="0" applyNumberFormat="1" applyFont="1" applyBorder="1"/>
    <xf numFmtId="166" fontId="11" fillId="0" borderId="10" xfId="0" applyNumberFormat="1" applyFont="1" applyBorder="1"/>
    <xf numFmtId="8" fontId="11" fillId="0" borderId="10" xfId="0" applyNumberFormat="1" applyFont="1" applyBorder="1"/>
    <xf numFmtId="0" fontId="13" fillId="3" borderId="0" xfId="0" applyFont="1" applyFill="1" applyAlignment="1">
      <alignment horizontal="center"/>
    </xf>
    <xf numFmtId="0" fontId="14" fillId="0" borderId="10" xfId="0" applyFont="1" applyBorder="1"/>
    <xf numFmtId="167" fontId="15" fillId="5" borderId="10" xfId="0" applyNumberFormat="1" applyFont="1" applyFill="1" applyBorder="1"/>
    <xf numFmtId="0" fontId="16" fillId="0" borderId="10" xfId="0" applyFont="1" applyBorder="1"/>
    <xf numFmtId="167" fontId="15" fillId="0" borderId="10" xfId="0" applyNumberFormat="1" applyFont="1" applyBorder="1"/>
    <xf numFmtId="167" fontId="17" fillId="5" borderId="10" xfId="0" applyNumberFormat="1" applyFont="1" applyFill="1" applyBorder="1"/>
    <xf numFmtId="0" fontId="0" fillId="0" borderId="0" xfId="0" applyFill="1" applyBorder="1" applyAlignment="1"/>
    <xf numFmtId="167" fontId="0" fillId="0" borderId="0" xfId="0" applyNumberFormat="1" applyFill="1" applyBorder="1" applyAlignment="1"/>
    <xf numFmtId="0" fontId="0" fillId="0" borderId="7" xfId="0" applyFill="1" applyBorder="1" applyAlignment="1"/>
    <xf numFmtId="0" fontId="18" fillId="6" borderId="11" xfId="0" applyFont="1" applyFill="1" applyBorder="1" applyAlignment="1">
      <alignment horizontal="left"/>
    </xf>
    <xf numFmtId="0" fontId="18" fillId="6" borderId="9" xfId="0" applyFont="1" applyFill="1" applyBorder="1" applyAlignment="1">
      <alignment horizontal="left"/>
    </xf>
    <xf numFmtId="0" fontId="0" fillId="0" borderId="12" xfId="0" applyFill="1" applyBorder="1" applyAlignment="1"/>
    <xf numFmtId="0" fontId="19" fillId="7" borderId="0" xfId="0" applyFont="1" applyFill="1" applyBorder="1" applyAlignment="1">
      <alignment horizontal="left"/>
    </xf>
    <xf numFmtId="0" fontId="20" fillId="7" borderId="12" xfId="0" applyFont="1" applyFill="1" applyBorder="1" applyAlignment="1">
      <alignment horizontal="left"/>
    </xf>
    <xf numFmtId="0" fontId="19" fillId="7" borderId="7" xfId="0" applyFont="1" applyFill="1" applyBorder="1" applyAlignment="1">
      <alignment horizontal="left"/>
    </xf>
    <xf numFmtId="0" fontId="21" fillId="6" borderId="9" xfId="0" applyFont="1" applyFill="1" applyBorder="1" applyAlignment="1">
      <alignment horizontal="right"/>
    </xf>
    <xf numFmtId="0" fontId="21" fillId="6" borderId="11" xfId="0" applyFont="1" applyFill="1" applyBorder="1" applyAlignment="1">
      <alignment horizontal="right"/>
    </xf>
    <xf numFmtId="167" fontId="0" fillId="8" borderId="0" xfId="0" applyNumberFormat="1" applyFill="1" applyBorder="1" applyAlignment="1"/>
    <xf numFmtId="0" fontId="22" fillId="0" borderId="0" xfId="0" applyFont="1" applyFill="1" applyBorder="1" applyAlignment="1">
      <alignment vertical="top" wrapText="1"/>
    </xf>
  </cellXfs>
  <cellStyles count="3">
    <cellStyle name="Comma" xfId="1" builtinId="3"/>
    <cellStyle name="Currency" xfId="2" builtinId="4"/>
    <cellStyle name="Normal" xfId="0" builtinId="0"/>
  </cellStyles>
  <dxfs count="18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9" formatCode="dd/mm/yyyy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9" formatCode="dd/mm/yyyy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9" formatCode="dd/mm/yyyy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9" formatCode="dd/mm/yyyy"/>
    </dxf>
    <dxf>
      <numFmt numFmtId="0" formatCode="General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[ASSINGMENT 4.xlsx]Q2 CHARTS!PivotTable2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'Q2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6C5-4111-A2E7-5A1A870A78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6C5-4111-A2E7-5A1A870A78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6C5-4111-A2E7-5A1A870A784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 CHARTS'!$A$4:$A$7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'Q2 CHARTS'!$B$4:$B$7</c:f>
              <c:numCache>
                <c:formatCode>General</c:formatCode>
                <c:ptCount val="3"/>
                <c:pt idx="0">
                  <c:v>-22.056800000000294</c:v>
                </c:pt>
                <c:pt idx="1">
                  <c:v>115.88929999999991</c:v>
                </c:pt>
                <c:pt idx="2">
                  <c:v>175.08300000000003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B-48CD-B44C-2CE574180F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[ASSINGMENT 4.xlsx]Q1 CHARTS!PivotTable1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E9C-4EEA-8B05-F8461768E2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E9C-4EEA-8B05-F8461768E2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E9C-4EEA-8B05-F8461768E2B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CHARTS'!$A$4:$A$7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'Q1 CHARTS'!$B$4:$B$7</c:f>
              <c:numCache>
                <c:formatCode>General</c:formatCode>
                <c:ptCount val="3"/>
                <c:pt idx="0">
                  <c:v>3706.5214999999998</c:v>
                </c:pt>
                <c:pt idx="1">
                  <c:v>1505.0139999999999</c:v>
                </c:pt>
                <c:pt idx="2">
                  <c:v>2032.056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0-4F2C-A901-0C928F2D033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[ASSINGMENT 4.xlsx]Q3 CHARTS!PivotTable3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'Q3 CHARTS'!$A$4:$A$15</c:f>
              <c:multiLvlStrCache>
                <c:ptCount val="8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2014</c:v>
                  </c:pt>
                  <c:pt idx="4">
                    <c:v>2015</c:v>
                  </c:pt>
                  <c:pt idx="5">
                    <c:v>2016</c:v>
                  </c:pt>
                  <c:pt idx="6">
                    <c:v>2017</c:v>
                  </c:pt>
                  <c:pt idx="7">
                    <c:v>2014</c:v>
                  </c:pt>
                </c:lvl>
                <c:lvl>
                  <c:pt idx="0">
                    <c:v>Furniture</c:v>
                  </c:pt>
                  <c:pt idx="3">
                    <c:v>Office Supplies</c:v>
                  </c:pt>
                  <c:pt idx="7">
                    <c:v>Technology</c:v>
                  </c:pt>
                </c:lvl>
              </c:multiLvlStrCache>
            </c:multiLvlStrRef>
          </c:cat>
          <c:val>
            <c:numRef>
              <c:f>'Q3 CHARTS'!$B$4:$B$15</c:f>
              <c:numCache>
                <c:formatCode>General</c:formatCode>
                <c:ptCount val="8"/>
                <c:pt idx="0">
                  <c:v>1755.0440000000001</c:v>
                </c:pt>
                <c:pt idx="1">
                  <c:v>957.57749999999999</c:v>
                </c:pt>
                <c:pt idx="2">
                  <c:v>993.89999999999986</c:v>
                </c:pt>
                <c:pt idx="3">
                  <c:v>893.34399999999994</c:v>
                </c:pt>
                <c:pt idx="4">
                  <c:v>93.721999999999994</c:v>
                </c:pt>
                <c:pt idx="5">
                  <c:v>502.39600000000002</c:v>
                </c:pt>
                <c:pt idx="6">
                  <c:v>15.552000000000003</c:v>
                </c:pt>
                <c:pt idx="7">
                  <c:v>2032.056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C-4466-9ADB-112DB235C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60919984"/>
        <c:axId val="1460916624"/>
        <c:axId val="0"/>
      </c:bar3DChart>
      <c:catAx>
        <c:axId val="146091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916624"/>
        <c:crosses val="autoZero"/>
        <c:auto val="1"/>
        <c:lblAlgn val="ctr"/>
        <c:lblOffset val="100"/>
        <c:noMultiLvlLbl val="0"/>
      </c:catAx>
      <c:valAx>
        <c:axId val="146091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91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[ASSINGMENT 4.xlsx]Q4 CHARTS!PivotTable4</c:name>
    <c:fmtId val="0"/>
  </c:pivotSource>
  <c:chart>
    <c:autoTitleDeleted val="0"/>
    <c:pivotFmts>
      <c:pivotFmt>
        <c:idx val="0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 CHARTS'!$B$3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invertIfNegative val="0"/>
          <c:cat>
            <c:strRef>
              <c:f>'Q4 CHARTS'!$A$4:$A$15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'Q4 CHARTS'!$B$4:$B$15</c:f>
              <c:numCache>
                <c:formatCode>General</c:formatCode>
                <c:ptCount val="11"/>
                <c:pt idx="0">
                  <c:v>244.04999999999998</c:v>
                </c:pt>
                <c:pt idx="1">
                  <c:v>35.299999999999997</c:v>
                </c:pt>
                <c:pt idx="2">
                  <c:v>451.74400000000003</c:v>
                </c:pt>
                <c:pt idx="3">
                  <c:v>261.95999999999998</c:v>
                </c:pt>
                <c:pt idx="4">
                  <c:v>731.93999999999994</c:v>
                </c:pt>
                <c:pt idx="5">
                  <c:v>48.86</c:v>
                </c:pt>
                <c:pt idx="6">
                  <c:v>14.62</c:v>
                </c:pt>
                <c:pt idx="7">
                  <c:v>15.552000000000003</c:v>
                </c:pt>
                <c:pt idx="8">
                  <c:v>2032.056</c:v>
                </c:pt>
                <c:pt idx="9">
                  <c:v>743.74800000000005</c:v>
                </c:pt>
                <c:pt idx="10">
                  <c:v>2663.7615000000001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2-4593-B364-18A4FCEF575A}"/>
            </c:ext>
          </c:extLst>
        </c:ser>
        <c:ser>
          <c:idx val="1"/>
          <c:order val="1"/>
          <c:tx>
            <c:strRef>
              <c:f>'Q4 CHARTS'!$C$3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invertIfNegative val="0"/>
          <c:cat>
            <c:strRef>
              <c:f>'Q4 CHARTS'!$A$4:$A$15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'Q4 CHARTS'!$C$4:$C$15</c:f>
              <c:numCache>
                <c:formatCode>0.00</c:formatCode>
                <c:ptCount val="11"/>
                <c:pt idx="0">
                  <c:v>-73.699600000000004</c:v>
                </c:pt>
                <c:pt idx="1">
                  <c:v>9.5076000000000001</c:v>
                </c:pt>
                <c:pt idx="2">
                  <c:v>141.94269999999992</c:v>
                </c:pt>
                <c:pt idx="3">
                  <c:v>41.913600000000002</c:v>
                </c:pt>
                <c:pt idx="4">
                  <c:v>219.58199999999997</c:v>
                </c:pt>
                <c:pt idx="5">
                  <c:v>14.169399999999996</c:v>
                </c:pt>
                <c:pt idx="6">
                  <c:v>6.8713999999999995</c:v>
                </c:pt>
                <c:pt idx="7">
                  <c:v>5.4432</c:v>
                </c:pt>
                <c:pt idx="8">
                  <c:v>175.08300000000003</c:v>
                </c:pt>
                <c:pt idx="9">
                  <c:v>25.823999999999991</c:v>
                </c:pt>
                <c:pt idx="10">
                  <c:v>-297.72180000000026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2-4593-B364-18A4FCEF5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460940144"/>
        <c:axId val="1460933904"/>
      </c:barChart>
      <c:catAx>
        <c:axId val="146094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933904"/>
        <c:crosses val="autoZero"/>
        <c:auto val="1"/>
        <c:lblAlgn val="ctr"/>
        <c:lblOffset val="100"/>
        <c:noMultiLvlLbl val="0"/>
      </c:catAx>
      <c:valAx>
        <c:axId val="1460933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94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[ASSINGMENT 4.xlsx]Q7 CHARTS!PivotTable12</c:name>
    <c:fmtId val="0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 CHARTS'!$B$3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'Q7 CHARTS'!$A$4:$A$15</c:f>
              <c:strCache>
                <c:ptCount val="11"/>
                <c:pt idx="0">
                  <c:v>Alejandro Grove</c:v>
                </c:pt>
                <c:pt idx="1">
                  <c:v>Andrew Allen</c:v>
                </c:pt>
                <c:pt idx="2">
                  <c:v>Brosina Hoffman</c:v>
                </c:pt>
                <c:pt idx="3">
                  <c:v>Claire Gute</c:v>
                </c:pt>
                <c:pt idx="4">
                  <c:v>Darrin Van Huff</c:v>
                </c:pt>
                <c:pt idx="5">
                  <c:v>Harold Pawlan</c:v>
                </c:pt>
                <c:pt idx="6">
                  <c:v>Irene Maddox</c:v>
                </c:pt>
                <c:pt idx="7">
                  <c:v>Ken Black</c:v>
                </c:pt>
                <c:pt idx="8">
                  <c:v>Pete Kriz</c:v>
                </c:pt>
                <c:pt idx="9">
                  <c:v>Sean O'Donnell</c:v>
                </c:pt>
                <c:pt idx="10">
                  <c:v>Zuschuss Donatelli</c:v>
                </c:pt>
              </c:strCache>
            </c:strRef>
          </c:cat>
          <c:val>
            <c:numRef>
              <c:f>'Q7 CHARTS'!$B$4:$B$15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38</c:v>
                </c:pt>
                <c:pt idx="3">
                  <c:v>5</c:v>
                </c:pt>
                <c:pt idx="4">
                  <c:v>2</c:v>
                </c:pt>
                <c:pt idx="5">
                  <c:v>8</c:v>
                </c:pt>
                <c:pt idx="6">
                  <c:v>3</c:v>
                </c:pt>
                <c:pt idx="7">
                  <c:v>14</c:v>
                </c:pt>
                <c:pt idx="8">
                  <c:v>6</c:v>
                </c:pt>
                <c:pt idx="9">
                  <c:v>7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2-4FAF-B3BF-41B1AB1FE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6635552"/>
        <c:axId val="106620192"/>
      </c:barChart>
      <c:catAx>
        <c:axId val="1066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20192"/>
        <c:crosses val="autoZero"/>
        <c:auto val="1"/>
        <c:lblAlgn val="ctr"/>
        <c:lblOffset val="100"/>
        <c:noMultiLvlLbl val="0"/>
      </c:catAx>
      <c:valAx>
        <c:axId val="10662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637459110714616E-2"/>
          <c:y val="6.4632956550018217E-2"/>
          <c:w val="0.88065810739174843"/>
          <c:h val="0.65178388996744618"/>
        </c:manualLayout>
      </c:layout>
      <c:lineChart>
        <c:grouping val="standard"/>
        <c:varyColors val="0"/>
        <c:ser>
          <c:idx val="0"/>
          <c:order val="0"/>
          <c:tx>
            <c:strRef>
              <c:f>'Q1.2 FORECAST'!$B$1</c:f>
              <c:strCache>
                <c:ptCount val="1"/>
                <c:pt idx="0">
                  <c:v> Average Views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"/>
              <c:pt idx="0">
                <c:v> 14.00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'Q1.2 FORECAST'!$B$2:$B$18</c15:sqref>
                  </c15:fullRef>
                </c:ext>
              </c:extLst>
              <c:f>'Q1.2 FORECAST'!$B$15</c:f>
              <c:numCache>
                <c:formatCode>_(* #,##0.00_);_(* \(#,##0.00\);_(* "-"??_);_(@_)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C-4F16-89B3-1DA8A8826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842528"/>
        <c:axId val="69584300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'Q1.2 FORECAST'!$C$1</c15:sqref>
                        </c15:formulaRef>
                      </c:ext>
                    </c:extLst>
                    <c:strCache>
                      <c:ptCount val="1"/>
                      <c:pt idx="0">
                        <c:v>Forecast( Average Views )</c:v>
                      </c:pt>
                    </c:strCache>
                  </c:strRef>
                </c:tx>
                <c:spPr>
                  <a:ln w="254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'Q1.2 FORECAST'!$A$2:$A$18</c15:sqref>
                        </c15:fullRef>
                        <c15:formulaRef>
                          <c15:sqref>'Q1.2 FORECAST'!$A$15</c15:sqref>
                        </c15:formulaRef>
                      </c:ext>
                    </c:extLst>
                    <c:numCache>
                      <c:formatCode>m/d/yyyy</c:formatCode>
                      <c:ptCount val="1"/>
                      <c:pt idx="0">
                        <c:v>45718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'Q1.2 FORECAST'!$C$2:$C$18</c15:sqref>
                        </c15:fullRef>
                        <c15:formulaRef>
                          <c15:sqref>'Q1.2 FORECAST'!$C$15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 formatCode="_(* #,##0.00_);_(* \(#,##0.00\);_(* &quot;-&quot;??_);_(@_)">
                        <c:v>66181.948517937504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CDC-4F16-89B3-1DA8A88268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'Q1.2 FORECAST'!$D$1</c15:sqref>
                        </c15:formulaRef>
                      </c:ext>
                    </c:extLst>
                    <c:strCache>
                      <c:ptCount val="1"/>
                      <c:pt idx="0">
                        <c:v>Lower Confidence Bound( Average Views )</c:v>
                      </c:pt>
                    </c:strCache>
                  </c:strRef>
                </c:tx>
                <c:spPr>
                  <a:ln w="12700" cap="rnd">
                    <a:solidFill>
                      <a:srgbClr val="E97132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'Q1.2 FORECAST'!$A$2:$A$18</c15:sqref>
                        </c15:fullRef>
                        <c15:formulaRef>
                          <c15:sqref>'Q1.2 FORECAST'!$A$15</c15:sqref>
                        </c15:formulaRef>
                      </c:ext>
                    </c:extLst>
                    <c:numCache>
                      <c:formatCode>m/d/yyyy</c:formatCode>
                      <c:ptCount val="1"/>
                      <c:pt idx="0">
                        <c:v>45718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'Q1.2 FORECAST'!$D$2:$D$18</c15:sqref>
                        </c15:fullRef>
                        <c15:formulaRef>
                          <c15:sqref>'Q1.2 FORECAST'!$D$15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 formatCode="_(* #,##0.00_);_(* \(#,##0.00\);_(* &quot;-&quot;??_);_(@_)">
                        <c:v>39126.292620501423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DC-4F16-89B3-1DA8A88268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'Q1.2 FORECAST'!$E$1</c15:sqref>
                        </c15:formulaRef>
                      </c:ext>
                    </c:extLst>
                    <c:strCache>
                      <c:ptCount val="1"/>
                      <c:pt idx="0">
                        <c:v>Upper Confidence Bound( Average Views )</c:v>
                      </c:pt>
                    </c:strCache>
                  </c:strRef>
                </c:tx>
                <c:spPr>
                  <a:ln w="12700" cap="rnd">
                    <a:solidFill>
                      <a:srgbClr val="E97132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'Q1.2 FORECAST'!$A$2:$A$18</c15:sqref>
                        </c15:fullRef>
                        <c15:formulaRef>
                          <c15:sqref>'Q1.2 FORECAST'!$A$15</c15:sqref>
                        </c15:formulaRef>
                      </c:ext>
                    </c:extLst>
                    <c:numCache>
                      <c:formatCode>m/d/yyyy</c:formatCode>
                      <c:ptCount val="1"/>
                      <c:pt idx="0">
                        <c:v>45718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'Q1.2 FORECAST'!$E$2:$E$18</c15:sqref>
                        </c15:fullRef>
                        <c15:formulaRef>
                          <c15:sqref>'Q1.2 FORECAST'!$E$15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 formatCode="_(* #,##0.00_);_(* \(#,##0.00\);_(* &quot;-&quot;??_);_(@_)">
                        <c:v>93237.604415373586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CDC-4F16-89B3-1DA8A8826842}"/>
                  </c:ext>
                </c:extLst>
              </c15:ser>
            </c15:filteredLineSeries>
          </c:ext>
        </c:extLst>
      </c:lineChart>
      <c:catAx>
        <c:axId val="69584252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43008"/>
        <c:crosses val="autoZero"/>
        <c:auto val="1"/>
        <c:lblAlgn val="ctr"/>
        <c:lblOffset val="100"/>
        <c:noMultiLvlLbl val="0"/>
      </c:catAx>
      <c:valAx>
        <c:axId val="6958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Q1 FORECAST'!$B$1</c:f>
              <c:strCache>
                <c:ptCount val="1"/>
                <c:pt idx="0">
                  <c:v> Average Views 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 Q1 FORECAST'!$B$33</c:f>
              <c:numCache>
                <c:formatCode>m/d/yyyy</c:formatCode>
                <c:ptCount val="1"/>
                <c:pt idx="0">
                  <c:v>45718</c:v>
                </c:pt>
              </c:numCache>
            </c:numRef>
          </c:cat>
          <c:val>
            <c:numRef>
              <c:f>' Q1 FORECAST'!$B$2:$B$33</c:f>
              <c:numCache>
                <c:formatCode>_(* #,##0.00_);_(* \(#,##0.00\);_(* "-"??_);_(@_)</c:formatCode>
                <c:ptCount val="32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  <c:pt idx="17" formatCode="General">
                  <c:v>0</c:v>
                </c:pt>
                <c:pt idx="18" formatCode="m/d/yyyy">
                  <c:v>45324</c:v>
                </c:pt>
                <c:pt idx="19" formatCode="m/d/yyyy">
                  <c:v>45353</c:v>
                </c:pt>
                <c:pt idx="20" formatCode="m/d/yyyy">
                  <c:v>45384</c:v>
                </c:pt>
                <c:pt idx="21" formatCode="m/d/yyyy">
                  <c:v>45414</c:v>
                </c:pt>
                <c:pt idx="22" formatCode="m/d/yyyy">
                  <c:v>45445</c:v>
                </c:pt>
                <c:pt idx="23" formatCode="m/d/yyyy">
                  <c:v>45475</c:v>
                </c:pt>
                <c:pt idx="24" formatCode="m/d/yyyy">
                  <c:v>45506</c:v>
                </c:pt>
                <c:pt idx="25" formatCode="m/d/yyyy">
                  <c:v>45537</c:v>
                </c:pt>
                <c:pt idx="26" formatCode="m/d/yyyy">
                  <c:v>45567</c:v>
                </c:pt>
                <c:pt idx="27" formatCode="m/d/yyyy">
                  <c:v>45598</c:v>
                </c:pt>
                <c:pt idx="28" formatCode="m/d/yyyy">
                  <c:v>45628</c:v>
                </c:pt>
                <c:pt idx="29" formatCode="m/d/yyyy">
                  <c:v>45659</c:v>
                </c:pt>
                <c:pt idx="30" formatCode="m/d/yyyy">
                  <c:v>45690</c:v>
                </c:pt>
                <c:pt idx="31" formatCode="m/d/yyyy">
                  <c:v>45718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6-455E-9468-6AC3618AAE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95823328"/>
        <c:axId val="695828128"/>
      </c:barChart>
      <c:valAx>
        <c:axId val="69582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23328"/>
        <c:crosses val="autoZero"/>
        <c:crossBetween val="between"/>
      </c:valAx>
      <c:dateAx>
        <c:axId val="695823328"/>
        <c:scaling>
          <c:orientation val="minMax"/>
        </c:scaling>
        <c:delete val="0"/>
        <c:axPos val="l"/>
        <c:numFmt formatCode="m/d/yyyy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2812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2142077919271"/>
          <c:y val="7.6548364648573411E-2"/>
          <c:w val="0.87537857922080731"/>
          <c:h val="0.65608030728935496"/>
        </c:manualLayout>
      </c:layout>
      <c:lineChart>
        <c:grouping val="standard"/>
        <c:varyColors val="0"/>
        <c:ser>
          <c:idx val="0"/>
          <c:order val="0"/>
          <c:tx>
            <c:strRef>
              <c:f>'Q2.2 FORECAST'!$B$1</c:f>
              <c:strCache>
                <c:ptCount val="1"/>
                <c:pt idx="0">
                  <c:v> Average Views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'Q2.2 FORECAST'!$B$2:$B$18</c:f>
              <c:numCache>
                <c:formatCode>_(* #,##0.00_);_(* \(#,##0.00\);_(* "-"??_);_(@_)</c:formatCode>
                <c:ptCount val="17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2-4037-B743-07C4569E6555}"/>
            </c:ext>
          </c:extLst>
        </c:ser>
        <c:ser>
          <c:idx val="1"/>
          <c:order val="1"/>
          <c:tx>
            <c:strRef>
              <c:f>'Q2.2 FORECAST'!$C$1</c:f>
              <c:strCache>
                <c:ptCount val="1"/>
                <c:pt idx="0">
                  <c:v>Forecast( Average Views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'Q2.2 FORECAST'!$A$2:$A$18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'Q2.2 FORECAST'!$C$2:$C$18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66181.948517937504</c:v>
                </c:pt>
                <c:pt idx="14" formatCode="_(* #,##0.00_);_(* \(#,##0.00\);_(* &quot;-&quot;??_);_(@_)">
                  <c:v>70091.952730737423</c:v>
                </c:pt>
                <c:pt idx="15" formatCode="_(* #,##0.00_);_(* \(#,##0.00\);_(* &quot;-&quot;??_);_(@_)">
                  <c:v>74001.9569435374</c:v>
                </c:pt>
                <c:pt idx="16" formatCode="_(* #,##0.00_);_(* \(#,##0.00\);_(* &quot;-&quot;??_);_(@_)">
                  <c:v>77911.961156337318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2-4037-B743-07C4569E6555}"/>
            </c:ext>
          </c:extLst>
        </c:ser>
        <c:ser>
          <c:idx val="2"/>
          <c:order val="2"/>
          <c:tx>
            <c:strRef>
              <c:f>'Q2.2 FORECAST'!$D$1</c:f>
              <c:strCache>
                <c:ptCount val="1"/>
                <c:pt idx="0">
                  <c:v>Lower Confidence Bound( Average Views 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'Q2.2 FORECAST'!$A$2:$A$18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'Q2.2 FORECAST'!$D$2:$D$18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39126.292620501423</c:v>
                </c:pt>
                <c:pt idx="14" formatCode="_(* #,##0.00_);_(* \(#,##0.00\);_(* &quot;-&quot;??_);_(@_)">
                  <c:v>42197.046662432891</c:v>
                </c:pt>
                <c:pt idx="15" formatCode="_(* #,##0.00_);_(* \(#,##0.00\);_(* &quot;-&quot;??_);_(@_)">
                  <c:v>45285.911718573581</c:v>
                </c:pt>
                <c:pt idx="16" formatCode="_(* #,##0.00_);_(* \(#,##0.00\);_(* &quot;-&quot;??_);_(@_)">
                  <c:v>48391.351635776919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2-4037-B743-07C4569E6555}"/>
            </c:ext>
          </c:extLst>
        </c:ser>
        <c:ser>
          <c:idx val="3"/>
          <c:order val="3"/>
          <c:tx>
            <c:strRef>
              <c:f>'Q2.2 FORECAST'!$E$1</c:f>
              <c:strCache>
                <c:ptCount val="1"/>
                <c:pt idx="0">
                  <c:v>Upper Confidence Bound( Average Views 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'Q2.2 FORECAST'!$A$2:$A$18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'Q2.2 FORECAST'!$E$2:$E$18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93237.604415373586</c:v>
                </c:pt>
                <c:pt idx="14" formatCode="_(* #,##0.00_);_(* \(#,##0.00\);_(* &quot;-&quot;??_);_(@_)">
                  <c:v>97986.858799041947</c:v>
                </c:pt>
                <c:pt idx="15" formatCode="_(* #,##0.00_);_(* \(#,##0.00\);_(* &quot;-&quot;??_);_(@_)">
                  <c:v>102718.00216850122</c:v>
                </c:pt>
                <c:pt idx="16" formatCode="_(* #,##0.00_);_(* \(#,##0.00\);_(* &quot;-&quot;??_);_(@_)">
                  <c:v>107432.57067689771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A2-4037-B743-07C4569E6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938608"/>
        <c:axId val="1807941008"/>
      </c:lineChart>
      <c:catAx>
        <c:axId val="180793860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41008"/>
        <c:crosses val="autoZero"/>
        <c:auto val="1"/>
        <c:lblAlgn val="ctr"/>
        <c:lblOffset val="100"/>
        <c:noMultiLvlLbl val="0"/>
      </c:catAx>
      <c:valAx>
        <c:axId val="180794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FORECAST'!$B$1</c:f>
              <c:strCache>
                <c:ptCount val="1"/>
                <c:pt idx="0">
                  <c:v> Average Views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'Q2 FORECAST'!$B$2:$B$18</c:f>
              <c:numCache>
                <c:formatCode>_(* #,##0.00_);_(* \(#,##0.00\);_(* "-"??_);_(@_)</c:formatCode>
                <c:ptCount val="17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0-4ED9-906E-6B514B50D6AE}"/>
            </c:ext>
          </c:extLst>
        </c:ser>
        <c:ser>
          <c:idx val="1"/>
          <c:order val="1"/>
          <c:tx>
            <c:strRef>
              <c:f>'Q2 FORECAST'!$C$1</c:f>
              <c:strCache>
                <c:ptCount val="1"/>
                <c:pt idx="0">
                  <c:v>Forecast( Average Views 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'Q2 FORECAST'!$A$2:$A$18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'Q2 FORECAST'!$C$2:$C$18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66181.948517937504</c:v>
                </c:pt>
                <c:pt idx="14" formatCode="_(* #,##0.00_);_(* \(#,##0.00\);_(* &quot;-&quot;??_);_(@_)">
                  <c:v>70091.952730737423</c:v>
                </c:pt>
                <c:pt idx="15" formatCode="_(* #,##0.00_);_(* \(#,##0.00\);_(* &quot;-&quot;??_);_(@_)">
                  <c:v>74001.9569435374</c:v>
                </c:pt>
                <c:pt idx="16" formatCode="_(* #,##0.00_);_(* \(#,##0.00\);_(* &quot;-&quot;??_);_(@_)">
                  <c:v>77911.961156337318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0-4ED9-906E-6B514B50D6AE}"/>
            </c:ext>
          </c:extLst>
        </c:ser>
        <c:ser>
          <c:idx val="2"/>
          <c:order val="2"/>
          <c:tx>
            <c:strRef>
              <c:f>'Q2 FORECAST'!$D$1</c:f>
              <c:strCache>
                <c:ptCount val="1"/>
                <c:pt idx="0">
                  <c:v>Lower Confidence Bound( Average Views 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'Q2 FORECAST'!$A$2:$A$18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'Q2 FORECAST'!$D$2:$D$18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39126.292620501423</c:v>
                </c:pt>
                <c:pt idx="14" formatCode="_(* #,##0.00_);_(* \(#,##0.00\);_(* &quot;-&quot;??_);_(@_)">
                  <c:v>42197.046662432891</c:v>
                </c:pt>
                <c:pt idx="15" formatCode="_(* #,##0.00_);_(* \(#,##0.00\);_(* &quot;-&quot;??_);_(@_)">
                  <c:v>45285.911718573581</c:v>
                </c:pt>
                <c:pt idx="16" formatCode="_(* #,##0.00_);_(* \(#,##0.00\);_(* &quot;-&quot;??_);_(@_)">
                  <c:v>48391.351635776919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60-4ED9-906E-6B514B50D6AE}"/>
            </c:ext>
          </c:extLst>
        </c:ser>
        <c:ser>
          <c:idx val="3"/>
          <c:order val="3"/>
          <c:tx>
            <c:strRef>
              <c:f>'Q2 FORECAST'!$E$1</c:f>
              <c:strCache>
                <c:ptCount val="1"/>
                <c:pt idx="0">
                  <c:v>Upper Confidence Bound( Average Views 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'Q2 FORECAST'!$A$2:$A$18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'Q2 FORECAST'!$E$2:$E$18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93237.604415373586</c:v>
                </c:pt>
                <c:pt idx="14" formatCode="_(* #,##0.00_);_(* \(#,##0.00\);_(* &quot;-&quot;??_);_(@_)">
                  <c:v>97986.858799041947</c:v>
                </c:pt>
                <c:pt idx="15" formatCode="_(* #,##0.00_);_(* \(#,##0.00\);_(* &quot;-&quot;??_);_(@_)">
                  <c:v>102718.00216850122</c:v>
                </c:pt>
                <c:pt idx="16" formatCode="_(* #,##0.00_);_(* \(#,##0.00\);_(* &quot;-&quot;??_);_(@_)">
                  <c:v>107432.57067689771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60-4ED9-906E-6B514B50D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07973168"/>
        <c:axId val="1807969328"/>
      </c:barChart>
      <c:catAx>
        <c:axId val="18079731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69328"/>
        <c:crosses val="autoZero"/>
        <c:auto val="1"/>
        <c:lblAlgn val="ctr"/>
        <c:lblOffset val="100"/>
        <c:noMultiLvlLbl val="0"/>
      </c:catAx>
      <c:valAx>
        <c:axId val="180796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7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'Q5 , Q6 CHARTS'!$I$2</c:f>
              <c:strCache>
                <c:ptCount val="1"/>
                <c:pt idx="0">
                  <c:v>Sales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'Q5 , Q6 CHARTS'!$G$3:$G$25</c:f>
              <c:strCache>
                <c:ptCount val="23"/>
                <c:pt idx="0">
                  <c:v>Furniture</c:v>
                </c:pt>
                <c:pt idx="1">
                  <c:v>Furniture</c:v>
                </c:pt>
                <c:pt idx="2">
                  <c:v>Office Supplies</c:v>
                </c:pt>
                <c:pt idx="3">
                  <c:v>Furniture</c:v>
                </c:pt>
                <c:pt idx="4">
                  <c:v>Office Supplies</c:v>
                </c:pt>
                <c:pt idx="5">
                  <c:v>Furniture</c:v>
                </c:pt>
                <c:pt idx="6">
                  <c:v>Office Supplies</c:v>
                </c:pt>
                <c:pt idx="7">
                  <c:v>Technology</c:v>
                </c:pt>
                <c:pt idx="8">
                  <c:v>Office Supplies</c:v>
                </c:pt>
                <c:pt idx="9">
                  <c:v>Office Supplies</c:v>
                </c:pt>
                <c:pt idx="10">
                  <c:v>Furniture</c:v>
                </c:pt>
                <c:pt idx="11">
                  <c:v>Technology</c:v>
                </c:pt>
                <c:pt idx="12">
                  <c:v>Office Supplies</c:v>
                </c:pt>
                <c:pt idx="13">
                  <c:v>Office Supplies</c:v>
                </c:pt>
                <c:pt idx="14">
                  <c:v>Office Supplies</c:v>
                </c:pt>
                <c:pt idx="15">
                  <c:v>Office Supplies</c:v>
                </c:pt>
                <c:pt idx="16">
                  <c:v>Office Supplies</c:v>
                </c:pt>
                <c:pt idx="17">
                  <c:v>Office Supplies</c:v>
                </c:pt>
                <c:pt idx="18">
                  <c:v>Office Supplies</c:v>
                </c:pt>
                <c:pt idx="19">
                  <c:v>Technology</c:v>
                </c:pt>
                <c:pt idx="20">
                  <c:v>Office Supplies</c:v>
                </c:pt>
                <c:pt idx="21">
                  <c:v>Office Supplies</c:v>
                </c:pt>
                <c:pt idx="22">
                  <c:v>Office Supplies</c:v>
                </c:pt>
              </c:strCache>
            </c:strRef>
          </c:xVal>
          <c:yVal>
            <c:numRef>
              <c:f>'Q5 , Q6 CHARTS'!$I$3:$I$25</c:f>
              <c:numCache>
                <c:formatCode>General</c:formatCode>
                <c:ptCount val="23"/>
                <c:pt idx="0">
                  <c:v>261.95999999999998</c:v>
                </c:pt>
                <c:pt idx="1">
                  <c:v>731.93999999999994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22.368000000000002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1706.1840000000002</c:v>
                </c:pt>
                <c:pt idx="11">
                  <c:v>911.42399999999998</c:v>
                </c:pt>
                <c:pt idx="12">
                  <c:v>15.552000000000003</c:v>
                </c:pt>
                <c:pt idx="13">
                  <c:v>407.97600000000006</c:v>
                </c:pt>
                <c:pt idx="14">
                  <c:v>68.809999999999988</c:v>
                </c:pt>
                <c:pt idx="15">
                  <c:v>2.5439999999999996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213.48000000000002</c:v>
                </c:pt>
                <c:pt idx="20">
                  <c:v>22.72</c:v>
                </c:pt>
                <c:pt idx="21">
                  <c:v>19.459999999999997</c:v>
                </c:pt>
                <c:pt idx="22">
                  <c:v>60.339999999999996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10-4449-9397-C86F51AD63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657632"/>
        <c:axId val="106659552"/>
      </c:scatterChart>
      <c:valAx>
        <c:axId val="10665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59552"/>
        <c:crosses val="autoZero"/>
        <c:crossBetween val="midCat"/>
      </c:valAx>
      <c:valAx>
        <c:axId val="1066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5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</cx:chartData>
  <cx:chart>
    <cx:plotArea>
      <cx:plotAreaRegion>
        <cx:series layoutId="treemap" uniqueId="{95432FF5-7B75-47DC-BC30-C16FF120719F}" formatIdx="0">
          <cx:tx>
            <cx:txData>
              <cx:f>_xlchart.v1.1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5EDD7348-CF20-41FD-B12E-C4CD27C82F0A}" formatIdx="1">
          <cx:tx>
            <cx:txData>
              <cx:f>_xlchart.v1.3</cx:f>
              <cx:v>Profit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2</xdr:row>
      <xdr:rowOff>171450</xdr:rowOff>
    </xdr:from>
    <xdr:to>
      <xdr:col>12</xdr:col>
      <xdr:colOff>601980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CA40C-E6CF-7F73-9F1C-EB792F86D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4</xdr:row>
      <xdr:rowOff>34290</xdr:rowOff>
    </xdr:from>
    <xdr:to>
      <xdr:col>13</xdr:col>
      <xdr:colOff>281940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62869-FC6F-D898-07A6-552E87AAF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156210</xdr:rowOff>
    </xdr:from>
    <xdr:to>
      <xdr:col>10</xdr:col>
      <xdr:colOff>457200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D5A1B-13D5-6713-7229-DB770B7AE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515395</xdr:colOff>
      <xdr:row>2</xdr:row>
      <xdr:rowOff>10487</xdr:rowOff>
    </xdr:from>
    <xdr:to>
      <xdr:col>12</xdr:col>
      <xdr:colOff>213292</xdr:colOff>
      <xdr:row>17</xdr:row>
      <xdr:rowOff>10486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86274-862B-FD43-2739-F0901A6E2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624840</xdr:colOff>
      <xdr:row>1</xdr:row>
      <xdr:rowOff>148590</xdr:rowOff>
    </xdr:from>
    <xdr:to>
      <xdr:col>16</xdr:col>
      <xdr:colOff>601980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D3AFC-8A6D-B0FF-A05B-6D563D5CB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</xdr:row>
      <xdr:rowOff>49530</xdr:rowOff>
    </xdr:from>
    <xdr:to>
      <xdr:col>18</xdr:col>
      <xdr:colOff>137160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EF8805-7E0A-8C41-3883-9BD264C49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19051</xdr:rowOff>
    </xdr:from>
    <xdr:to>
      <xdr:col>15</xdr:col>
      <xdr:colOff>601979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A6859-FA27-2DA8-10EA-FA9E8657F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76201</xdr:colOff>
      <xdr:row>1</xdr:row>
      <xdr:rowOff>45721</xdr:rowOff>
    </xdr:from>
    <xdr:to>
      <xdr:col>17</xdr:col>
      <xdr:colOff>167641</xdr:colOff>
      <xdr:row>21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BDF11-D232-4EF9-010E-AEDDCD2CA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2529840</xdr:colOff>
      <xdr:row>1</xdr:row>
      <xdr:rowOff>34290</xdr:rowOff>
    </xdr:from>
    <xdr:to>
      <xdr:col>17</xdr:col>
      <xdr:colOff>337185</xdr:colOff>
      <xdr:row>21</xdr:row>
      <xdr:rowOff>43815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60A50-0130-5BC2-4C21-455C4D35F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19793</xdr:colOff>
      <xdr:row>27</xdr:row>
      <xdr:rowOff>172191</xdr:rowOff>
    </xdr:from>
    <xdr:to>
      <xdr:col>6</xdr:col>
      <xdr:colOff>1098467</xdr:colOff>
      <xdr:row>43</xdr:row>
      <xdr:rowOff>158338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A1182C-20FD-5111-B7FB-9C29AA952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69272</xdr:colOff>
      <xdr:row>48</xdr:row>
      <xdr:rowOff>19793</xdr:rowOff>
    </xdr:from>
    <xdr:to>
      <xdr:col>14</xdr:col>
      <xdr:colOff>9896</xdr:colOff>
      <xdr:row>72</xdr:row>
      <xdr:rowOff>19793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0CCD0C0-BAEE-45C8-452F-A1FB7831AE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9432" y="9217133"/>
              <a:ext cx="9313224" cy="4488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" refreshedDate="46006.895049305553" createdVersion="8" refreshedVersion="8" minRefreshableVersion="3" recordCount="23" xr:uid="{BF55E4F2-4DBD-4CEC-95E9-FD7E32F4CCC7}">
  <cacheSource type="worksheet">
    <worksheetSource ref="A2:K25" sheet="DATA SHEET"/>
  </cacheSource>
  <cacheFields count="14">
    <cacheField name="Row ID" numFmtId="0">
      <sharedItems containsSemiMixedTypes="0" containsString="0" containsNumber="1" containsInteger="1" minValue="1" maxValue="23"/>
    </cacheField>
    <cacheField name="Ship Date" numFmtId="14">
      <sharedItems containsSemiMixedTypes="0" containsNonDate="0" containsDate="1" containsString="0" minDate="2014-05-15T00:00:00" maxDate="2017-04-21T00:00:00" count="11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</sharedItems>
      <fieldGroup par="13"/>
    </cacheField>
    <cacheField name="Customer ID" numFmtId="0">
      <sharedItems count="1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</sharedItems>
    </cacheField>
    <cacheField name="Customer Name" numFmtId="0">
      <sharedItems count="1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</sharedItems>
    </cacheField>
    <cacheField name="Postal Code" numFmtId="0">
      <sharedItems containsSemiMixedTypes="0" containsString="0" containsNumber="1" containsInteger="1" minValue="28027" maxValue="98103"/>
    </cacheField>
    <cacheField name="Product ID" numFmtId="0">
      <sharedItems count="23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</sharedItems>
    </cacheField>
    <cacheField name="Sales" numFmtId="0">
      <sharedItems containsSemiMixedTypes="0" containsString="0" containsNumber="1" minValue="2.5439999999999996" maxValue="1706.1840000000002"/>
    </cacheField>
    <cacheField name="QTY" numFmtId="0">
      <sharedItems containsSemiMixedTypes="0" containsString="0" containsNumber="1" containsInteger="1" minValue="2" maxValue="9" count="7">
        <n v="2"/>
        <n v="3"/>
        <n v="5"/>
        <n v="7"/>
        <n v="4"/>
        <n v="6"/>
        <n v="9"/>
      </sharedItems>
    </cacheField>
    <cacheField name="Profit" numFmtId="2">
      <sharedItems containsSemiMixedTypes="0" containsString="0" containsNumber="1" minValue="-383.03100000000006" maxValue="219.58199999999997"/>
    </cacheField>
    <cacheField name="Months (Ship Date)" numFmtId="0" databaseField="0">
      <fieldGroup base="1">
        <rangePr groupBy="months" startDate="2014-05-15T00:00:00" endDate="2017-04-21T00:00:00"/>
        <groupItems count="14">
          <s v="&lt;15-05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4-2017"/>
        </groupItems>
      </fieldGroup>
    </cacheField>
    <cacheField name="Quarters (Ship Date)" numFmtId="0" databaseField="0">
      <fieldGroup base="1">
        <rangePr groupBy="quarters" startDate="2014-05-15T00:00:00" endDate="2017-04-21T00:00:00"/>
        <groupItems count="6">
          <s v="&lt;15-05-2014"/>
          <s v="Qtr1"/>
          <s v="Qtr2"/>
          <s v="Qtr3"/>
          <s v="Qtr4"/>
          <s v="&gt;21-04-2017"/>
        </groupItems>
      </fieldGroup>
    </cacheField>
    <cacheField name="Years (Ship Date)" numFmtId="0" databaseField="0">
      <fieldGroup base="1">
        <rangePr groupBy="years" startDate="2014-05-15T00:00:00" endDate="2017-04-21T00:00:00"/>
        <groupItems count="6">
          <s v="&lt;15-05-2014"/>
          <s v="2014"/>
          <s v="2015"/>
          <s v="2016"/>
          <s v="2017"/>
          <s v="&gt;21-04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x v="0"/>
    <x v="0"/>
    <x v="0"/>
    <n v="42420"/>
    <x v="0"/>
    <x v="0"/>
    <x v="0"/>
    <n v="261.95999999999998"/>
    <x v="0"/>
    <n v="41.913600000000002"/>
  </r>
  <r>
    <n v="2"/>
    <x v="0"/>
    <x v="0"/>
    <x v="0"/>
    <n v="42420"/>
    <x v="1"/>
    <x v="0"/>
    <x v="1"/>
    <n v="731.93999999999994"/>
    <x v="1"/>
    <n v="219.58199999999997"/>
  </r>
  <r>
    <n v="3"/>
    <x v="1"/>
    <x v="1"/>
    <x v="1"/>
    <n v="90036"/>
    <x v="2"/>
    <x v="1"/>
    <x v="2"/>
    <n v="14.62"/>
    <x v="0"/>
    <n v="6.8713999999999995"/>
  </r>
  <r>
    <n v="4"/>
    <x v="2"/>
    <x v="2"/>
    <x v="2"/>
    <n v="33311"/>
    <x v="3"/>
    <x v="0"/>
    <x v="3"/>
    <n v="957.57749999999999"/>
    <x v="2"/>
    <n v="-383.03100000000006"/>
  </r>
  <r>
    <n v="5"/>
    <x v="2"/>
    <x v="2"/>
    <x v="2"/>
    <n v="33311"/>
    <x v="4"/>
    <x v="1"/>
    <x v="4"/>
    <n v="22.368000000000002"/>
    <x v="0"/>
    <n v="2.5163999999999991"/>
  </r>
  <r>
    <n v="6"/>
    <x v="3"/>
    <x v="3"/>
    <x v="3"/>
    <n v="90032"/>
    <x v="5"/>
    <x v="0"/>
    <x v="5"/>
    <n v="48.86"/>
    <x v="3"/>
    <n v="14.169399999999996"/>
  </r>
  <r>
    <n v="7"/>
    <x v="3"/>
    <x v="3"/>
    <x v="3"/>
    <n v="90032"/>
    <x v="6"/>
    <x v="1"/>
    <x v="6"/>
    <n v="7.28"/>
    <x v="4"/>
    <n v="1.9656000000000002"/>
  </r>
  <r>
    <n v="8"/>
    <x v="3"/>
    <x v="3"/>
    <x v="3"/>
    <n v="90032"/>
    <x v="7"/>
    <x v="2"/>
    <x v="7"/>
    <n v="907.15200000000004"/>
    <x v="5"/>
    <n v="90.715200000000038"/>
  </r>
  <r>
    <n v="9"/>
    <x v="3"/>
    <x v="3"/>
    <x v="3"/>
    <n v="90032"/>
    <x v="8"/>
    <x v="1"/>
    <x v="8"/>
    <n v="18.504000000000001"/>
    <x v="1"/>
    <n v="5.7824999999999998"/>
  </r>
  <r>
    <n v="10"/>
    <x v="3"/>
    <x v="3"/>
    <x v="3"/>
    <n v="90032"/>
    <x v="9"/>
    <x v="1"/>
    <x v="9"/>
    <n v="114.9"/>
    <x v="2"/>
    <n v="34.469999999999992"/>
  </r>
  <r>
    <n v="11"/>
    <x v="3"/>
    <x v="3"/>
    <x v="3"/>
    <n v="90032"/>
    <x v="10"/>
    <x v="0"/>
    <x v="3"/>
    <n v="1706.1840000000002"/>
    <x v="6"/>
    <n v="85.309199999999805"/>
  </r>
  <r>
    <n v="12"/>
    <x v="3"/>
    <x v="3"/>
    <x v="3"/>
    <n v="90032"/>
    <x v="11"/>
    <x v="2"/>
    <x v="7"/>
    <n v="911.42399999999998"/>
    <x v="4"/>
    <n v="68.356800000000021"/>
  </r>
  <r>
    <n v="13"/>
    <x v="4"/>
    <x v="4"/>
    <x v="4"/>
    <n v="28027"/>
    <x v="12"/>
    <x v="1"/>
    <x v="10"/>
    <n v="15.552000000000003"/>
    <x v="1"/>
    <n v="5.4432"/>
  </r>
  <r>
    <n v="14"/>
    <x v="5"/>
    <x v="5"/>
    <x v="5"/>
    <n v="98103"/>
    <x v="13"/>
    <x v="1"/>
    <x v="8"/>
    <n v="407.97600000000006"/>
    <x v="1"/>
    <n v="132.59219999999993"/>
  </r>
  <r>
    <n v="15"/>
    <x v="6"/>
    <x v="6"/>
    <x v="6"/>
    <n v="76106"/>
    <x v="14"/>
    <x v="1"/>
    <x v="9"/>
    <n v="68.809999999999988"/>
    <x v="2"/>
    <n v="-123.858"/>
  </r>
  <r>
    <n v="16"/>
    <x v="6"/>
    <x v="6"/>
    <x v="6"/>
    <n v="76106"/>
    <x v="15"/>
    <x v="1"/>
    <x v="8"/>
    <n v="2.5439999999999996"/>
    <x v="1"/>
    <n v="-3.8160000000000016"/>
  </r>
  <r>
    <n v="17"/>
    <x v="7"/>
    <x v="7"/>
    <x v="7"/>
    <n v="53711"/>
    <x v="16"/>
    <x v="1"/>
    <x v="4"/>
    <n v="665.88"/>
    <x v="5"/>
    <n v="13.317599999999999"/>
  </r>
  <r>
    <n v="18"/>
    <x v="8"/>
    <x v="8"/>
    <x v="8"/>
    <n v="84084"/>
    <x v="17"/>
    <x v="1"/>
    <x v="4"/>
    <n v="55.5"/>
    <x v="0"/>
    <n v="9.9899999999999949"/>
  </r>
  <r>
    <n v="19"/>
    <x v="9"/>
    <x v="9"/>
    <x v="9"/>
    <n v="94109"/>
    <x v="18"/>
    <x v="1"/>
    <x v="6"/>
    <n v="8.56"/>
    <x v="0"/>
    <n v="2.4823999999999993"/>
  </r>
  <r>
    <n v="20"/>
    <x v="9"/>
    <x v="9"/>
    <x v="9"/>
    <n v="94109"/>
    <x v="19"/>
    <x v="2"/>
    <x v="7"/>
    <n v="213.48000000000002"/>
    <x v="1"/>
    <n v="16.010999999999981"/>
  </r>
  <r>
    <n v="21"/>
    <x v="9"/>
    <x v="9"/>
    <x v="9"/>
    <n v="94109"/>
    <x v="20"/>
    <x v="1"/>
    <x v="8"/>
    <n v="22.72"/>
    <x v="4"/>
    <n v="7.3839999999999986"/>
  </r>
  <r>
    <n v="22"/>
    <x v="10"/>
    <x v="10"/>
    <x v="10"/>
    <n v="68025"/>
    <x v="21"/>
    <x v="1"/>
    <x v="6"/>
    <n v="19.459999999999997"/>
    <x v="3"/>
    <n v="5.0595999999999997"/>
  </r>
  <r>
    <n v="23"/>
    <x v="10"/>
    <x v="10"/>
    <x v="10"/>
    <n v="68025"/>
    <x v="22"/>
    <x v="1"/>
    <x v="9"/>
    <n v="60.339999999999996"/>
    <x v="3"/>
    <n v="15.6884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21E95-C688-47D5-897B-95F32319898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4">
    <pivotField showAll="0"/>
    <pivotField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/>
  </dataFields>
  <formats count="2">
    <format dxfId="17">
      <pivotArea dataOnly="0" labelOnly="1" outline="0" axis="axisValues" fieldPosition="0"/>
    </format>
    <format dxfId="1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99A61-85ED-4ABD-8273-05A7DA7FFB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4">
    <pivotField showAll="0"/>
    <pivotField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43707-AE8E-43E4-8DC7-A83A651531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5" firstHeaderRow="1" firstDataRow="1" firstDataCol="1"/>
  <pivotFields count="14">
    <pivotField showAll="0"/>
    <pivotField axis="axisRow"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>
      <items count="12">
        <item x="4"/>
        <item x="8"/>
        <item x="3"/>
        <item x="0"/>
        <item x="1"/>
        <item x="6"/>
        <item x="5"/>
        <item x="10"/>
        <item x="7"/>
        <item x="2"/>
        <item x="9"/>
        <item t="default"/>
      </items>
    </pivotField>
    <pivotField showAll="0">
      <items count="12">
        <item x="8"/>
        <item x="4"/>
        <item x="3"/>
        <item x="0"/>
        <item x="1"/>
        <item x="6"/>
        <item x="5"/>
        <item x="10"/>
        <item x="7"/>
        <item x="2"/>
        <item x="9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5">
    <field x="6"/>
    <field x="13"/>
    <field x="12"/>
    <field x="11"/>
    <field x="1"/>
  </rowFields>
  <rowItems count="12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72DB8-25A9-4970-9664-095A56B70D1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C15" firstHeaderRow="0" firstDataRow="1" firstDataCol="1"/>
  <pivotFields count="14">
    <pivotField showAll="0"/>
    <pivotField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9"/>
        <item x="6"/>
        <item x="8"/>
        <item x="0"/>
        <item x="1"/>
        <item x="5"/>
        <item x="2"/>
        <item x="10"/>
        <item x="7"/>
        <item x="4"/>
        <item x="3"/>
        <item t="default"/>
      </items>
    </pivotField>
    <pivotField dataField="1" showAll="0"/>
    <pivotField showAll="0"/>
    <pivotField dataField="1"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0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99E8A-6AE3-46AD-89A9-2F82E80DF59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5" firstHeaderRow="1" firstDataRow="1" firstDataCol="1"/>
  <pivotFields count="14">
    <pivotField showAll="0"/>
    <pivotField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axis="axisRow" showAll="0">
      <items count="12">
        <item x="8"/>
        <item x="4"/>
        <item x="3"/>
        <item x="0"/>
        <item x="1"/>
        <item x="6"/>
        <item x="5"/>
        <item x="10"/>
        <item x="7"/>
        <item x="2"/>
        <item x="9"/>
        <item t="default"/>
      </items>
    </pivotField>
    <pivotField showAll="0"/>
    <pivotField showAll="0">
      <items count="24">
        <item x="0"/>
        <item x="1"/>
        <item x="5"/>
        <item x="3"/>
        <item x="10"/>
        <item x="22"/>
        <item x="14"/>
        <item x="9"/>
        <item x="21"/>
        <item x="6"/>
        <item x="18"/>
        <item x="15"/>
        <item x="20"/>
        <item x="13"/>
        <item x="8"/>
        <item x="2"/>
        <item x="12"/>
        <item x="17"/>
        <item x="4"/>
        <item x="16"/>
        <item x="19"/>
        <item x="11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8">
        <item x="0"/>
        <item x="1"/>
        <item x="4"/>
        <item x="2"/>
        <item x="5"/>
        <item x="3"/>
        <item x="6"/>
        <item t="default"/>
      </items>
    </pivotField>
    <pivotField numFmtId="2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QTY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1BBA2-E24D-47B4-98C1-1538B03D0EA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16:F21" firstHeaderRow="1" firstDataRow="1" firstDataCol="1"/>
  <pivotFields count="14">
    <pivotField showAll="0"/>
    <pivotField axis="axisRow"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4">
    <field x="13"/>
    <field x="12"/>
    <field x="11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AEC205-D624-4515-BF14-4C69EBABE49E}" name="Table2" displayName="Table2" ref="A1:E18" totalsRowShown="0">
  <autoFilter ref="A1:E18" xr:uid="{95AEC205-D624-4515-BF14-4C69EBABE49E}"/>
  <tableColumns count="5">
    <tableColumn id="1" xr3:uid="{D4AE743F-8839-4F15-A1B3-016106431174}" name="Dates " dataDxfId="11"/>
    <tableColumn id="2" xr3:uid="{3FA3D8AA-9C0E-4A38-9CD2-9CF42AF14D9E}" name=" Average Views "/>
    <tableColumn id="3" xr3:uid="{1B3E85D0-9B19-46C2-B78C-152CF9003FFF}" name="Forecast( Average Views )" dataDxfId="10">
      <calculatedColumnFormula>_xlfn.FORECAST.ETS(A2,$B$2:$B$14,$A$2:$A$14,1,1)</calculatedColumnFormula>
    </tableColumn>
    <tableColumn id="4" xr3:uid="{6BAC81D1-ADC6-45FE-A3DB-14E2530D8A32}" name="Lower Confidence Bound( Average Views )" dataDxfId="9">
      <calculatedColumnFormula>C2-_xlfn.FORECAST.ETS.CONFINT(A2,$B$2:$B$14,$A$2:$A$14,0.95,1,1)</calculatedColumnFormula>
    </tableColumn>
    <tableColumn id="5" xr3:uid="{072D0440-00FC-4888-BD5C-63A55CAD7C13}" name="Upper Confidence Bound( Average Views )" dataDxfId="8">
      <calculatedColumnFormula>C2+_xlfn.FORECAST.ETS.CONFINT(A2,$B$2:$B$14,$A$2:$A$14,0.95,1,1)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0764D-02C3-4C3E-8B2F-B90C211785ED}" name="Table1" displayName="Table1" ref="A1:E18" totalsRowShown="0">
  <autoFilter ref="A1:E18" xr:uid="{EF60764D-02C3-4C3E-8B2F-B90C211785ED}"/>
  <tableColumns count="5">
    <tableColumn id="1" xr3:uid="{EF0EC6C6-D1FF-4A70-9D68-78794D43A0F7}" name="Dates " dataDxfId="15"/>
    <tableColumn id="2" xr3:uid="{743FBE85-9E4C-407B-855D-72DFC2053E23}" name=" Average Views "/>
    <tableColumn id="3" xr3:uid="{9C30350E-AA8B-4CBA-A9AD-598C7DE34A4D}" name="Forecast( Average Views )" dataDxfId="14">
      <calculatedColumnFormula>_xlfn.FORECAST.ETS(A2,$B$2:$B$14,$A$2:$A$14,1,1)</calculatedColumnFormula>
    </tableColumn>
    <tableColumn id="4" xr3:uid="{4CA38CE1-413E-4E6E-8971-369991F31153}" name="Lower Confidence Bound( Average Views )" dataDxfId="13">
      <calculatedColumnFormula>C2-_xlfn.FORECAST.ETS.CONFINT(A2,$B$2:$B$14,$A$2:$A$14,0.95,1,1)</calculatedColumnFormula>
    </tableColumn>
    <tableColumn id="5" xr3:uid="{39542BB2-81C2-471D-A274-0906B6FFE27A}" name="Upper Confidence Bound( Average Views )" dataDxfId="12">
      <calculatedColumnFormula>C2+_xlfn.FORECAST.ETS.CONFINT(A2,$B$2:$B$14,$A$2:$A$14,0.95,1,1)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99123-B86C-4BB6-A489-3795E0A863B2}" name="Table4" displayName="Table4" ref="A1:E18" totalsRowShown="0">
  <autoFilter ref="A1:E18" xr:uid="{31699123-B86C-4BB6-A489-3795E0A863B2}"/>
  <tableColumns count="5">
    <tableColumn id="1" xr3:uid="{D7DCC88C-BCDB-4E98-811E-694E8FB4CE3B}" name="Dates " dataDxfId="3"/>
    <tableColumn id="2" xr3:uid="{81A820AB-688F-4B15-9C1D-3719DA1C4346}" name=" Average Views "/>
    <tableColumn id="3" xr3:uid="{CD3846A5-4915-4226-B07A-600A3B21004E}" name="Forecast( Average Views )" dataDxfId="2">
      <calculatedColumnFormula>_xlfn.FORECAST.ETS(A2,$B$2:$B$14,$A$2:$A$14,1,1)</calculatedColumnFormula>
    </tableColumn>
    <tableColumn id="4" xr3:uid="{6EACEE8C-CDC1-4D69-ABC3-8F59B5733073}" name="Lower Confidence Bound( Average Views )" dataDxfId="1">
      <calculatedColumnFormula>C2-_xlfn.FORECAST.ETS.CONFINT(A2,$B$2:$B$14,$A$2:$A$14,0.95,1,1)</calculatedColumnFormula>
    </tableColumn>
    <tableColumn id="5" xr3:uid="{3AE1839F-196E-45EF-BFA2-8058AA662616}" name="Upper Confidence Bound( Average Views )" dataDxfId="0">
      <calculatedColumnFormula>C2+_xlfn.FORECAST.ETS.CONFINT(A2,$B$2:$B$14,$A$2:$A$14,0.95,1,1)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9524D3-B518-454B-8B67-2136EF78C6EE}" name="Table3" displayName="Table3" ref="A1:E18" totalsRowShown="0">
  <autoFilter ref="A1:E18" xr:uid="{E59524D3-B518-454B-8B67-2136EF78C6EE}"/>
  <tableColumns count="5">
    <tableColumn id="1" xr3:uid="{8619263D-B95C-4A12-8E46-D815B3538471}" name="Dates " dataDxfId="7"/>
    <tableColumn id="2" xr3:uid="{DBF0EB82-CC30-439B-BCAF-02DAD1E46162}" name=" Average Views "/>
    <tableColumn id="3" xr3:uid="{9C4D9E66-CCB9-48AA-A2AD-C191B705B042}" name="Forecast( Average Views )" dataDxfId="6">
      <calculatedColumnFormula>_xlfn.FORECAST.ETS(A2,$B$2:$B$14,$A$2:$A$14,1,1)</calculatedColumnFormula>
    </tableColumn>
    <tableColumn id="4" xr3:uid="{A30A174A-E4D8-4996-AE4E-7AD9B16F4C9C}" name="Lower Confidence Bound( Average Views )" dataDxfId="5">
      <calculatedColumnFormula>C2-_xlfn.FORECAST.ETS.CONFINT(A2,$B$2:$B$14,$A$2:$A$14,0.95,1,1)</calculatedColumnFormula>
    </tableColumn>
    <tableColumn id="5" xr3:uid="{0F81CFA0-4E2C-4E77-B449-BDE0299091F6}" name="Upper Confidence Bound( Average Views )" dataDxfId="4">
      <calculatedColumnFormula>C2+_xlfn.FORECAST.ETS.CONFINT(A2,$B$2:$B$14,$A$2:$A$14,0.95,1,1)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D934-7182-4754-B1AC-046CFD83240B}">
  <dimension ref="A1:N7"/>
  <sheetViews>
    <sheetView workbookViewId="0">
      <selection activeCell="E28" sqref="E28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1" spans="1:14" ht="18" x14ac:dyDescent="0.35">
      <c r="F1" s="13" t="s">
        <v>75</v>
      </c>
      <c r="G1" s="14"/>
      <c r="H1" s="14"/>
      <c r="I1" s="14"/>
      <c r="J1" s="14"/>
      <c r="K1" s="14"/>
      <c r="L1" s="14"/>
      <c r="M1" s="14"/>
      <c r="N1" s="14"/>
    </row>
    <row r="3" spans="1:14" x14ac:dyDescent="0.3">
      <c r="A3" s="15" t="s">
        <v>73</v>
      </c>
      <c r="B3" s="18" t="s">
        <v>76</v>
      </c>
    </row>
    <row r="4" spans="1:14" x14ac:dyDescent="0.3">
      <c r="A4" s="16" t="s">
        <v>14</v>
      </c>
      <c r="B4">
        <v>-22.056800000000294</v>
      </c>
    </row>
    <row r="5" spans="1:14" x14ac:dyDescent="0.3">
      <c r="A5" s="16" t="s">
        <v>21</v>
      </c>
      <c r="B5">
        <v>115.88929999999991</v>
      </c>
    </row>
    <row r="6" spans="1:14" x14ac:dyDescent="0.3">
      <c r="A6" s="16" t="s">
        <v>36</v>
      </c>
      <c r="B6">
        <v>175.08300000000003</v>
      </c>
    </row>
    <row r="7" spans="1:14" x14ac:dyDescent="0.3">
      <c r="A7" s="16" t="s">
        <v>74</v>
      </c>
      <c r="B7">
        <v>268.91549999999961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87E4-7C24-4A33-A756-66BB169B26C2}">
  <dimension ref="A2:P7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2" spans="1:16" ht="18" x14ac:dyDescent="0.35">
      <c r="F2" s="13" t="s">
        <v>71</v>
      </c>
      <c r="G2" s="14"/>
      <c r="H2" s="14"/>
      <c r="I2" s="14"/>
      <c r="J2" s="14"/>
      <c r="K2" s="14"/>
      <c r="L2" s="14"/>
      <c r="M2" s="14"/>
      <c r="N2" s="14"/>
      <c r="O2" s="12"/>
      <c r="P2" s="12"/>
    </row>
    <row r="3" spans="1:16" x14ac:dyDescent="0.3">
      <c r="A3" s="15" t="s">
        <v>73</v>
      </c>
      <c r="B3" t="s">
        <v>72</v>
      </c>
    </row>
    <row r="4" spans="1:16" x14ac:dyDescent="0.3">
      <c r="A4" s="16" t="s">
        <v>14</v>
      </c>
      <c r="B4">
        <v>3706.5214999999998</v>
      </c>
    </row>
    <row r="5" spans="1:16" x14ac:dyDescent="0.3">
      <c r="A5" s="16" t="s">
        <v>21</v>
      </c>
      <c r="B5">
        <v>1505.0139999999999</v>
      </c>
    </row>
    <row r="6" spans="1:16" x14ac:dyDescent="0.3">
      <c r="A6" s="16" t="s">
        <v>36</v>
      </c>
      <c r="B6">
        <v>2032.056</v>
      </c>
    </row>
    <row r="7" spans="1:16" x14ac:dyDescent="0.3">
      <c r="A7" s="16" t="s">
        <v>74</v>
      </c>
      <c r="B7">
        <v>7243.5915000000005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E356-00C9-422A-ADCF-9789DC42AFF3}">
  <dimension ref="A1:I15"/>
  <sheetViews>
    <sheetView workbookViewId="0">
      <selection activeCell="L20" sqref="L20"/>
    </sheetView>
  </sheetViews>
  <sheetFormatPr defaultRowHeight="14.4" x14ac:dyDescent="0.3"/>
  <cols>
    <col min="1" max="1" width="15.44140625" bestFit="1" customWidth="1"/>
    <col min="2" max="2" width="11.5546875" bestFit="1" customWidth="1"/>
    <col min="3" max="3" width="17" bestFit="1" customWidth="1"/>
  </cols>
  <sheetData>
    <row r="1" spans="1:9" ht="18" x14ac:dyDescent="0.35">
      <c r="F1" s="13" t="s">
        <v>77</v>
      </c>
      <c r="G1" s="13"/>
      <c r="H1" s="13"/>
      <c r="I1" s="13"/>
    </row>
    <row r="3" spans="1:9" x14ac:dyDescent="0.3">
      <c r="A3" s="15" t="s">
        <v>73</v>
      </c>
      <c r="B3" t="s">
        <v>72</v>
      </c>
    </row>
    <row r="4" spans="1:9" x14ac:dyDescent="0.3">
      <c r="A4" s="16" t="s">
        <v>14</v>
      </c>
      <c r="B4">
        <v>3706.5214999999998</v>
      </c>
    </row>
    <row r="5" spans="1:9" x14ac:dyDescent="0.3">
      <c r="A5" s="19" t="s">
        <v>78</v>
      </c>
      <c r="B5">
        <v>1755.0440000000001</v>
      </c>
    </row>
    <row r="6" spans="1:9" x14ac:dyDescent="0.3">
      <c r="A6" s="19" t="s">
        <v>79</v>
      </c>
      <c r="B6">
        <v>957.57749999999999</v>
      </c>
    </row>
    <row r="7" spans="1:9" x14ac:dyDescent="0.3">
      <c r="A7" s="19" t="s">
        <v>80</v>
      </c>
      <c r="B7">
        <v>993.89999999999986</v>
      </c>
    </row>
    <row r="8" spans="1:9" x14ac:dyDescent="0.3">
      <c r="A8" s="16" t="s">
        <v>21</v>
      </c>
      <c r="B8">
        <v>1505.0139999999999</v>
      </c>
    </row>
    <row r="9" spans="1:9" x14ac:dyDescent="0.3">
      <c r="A9" s="19" t="s">
        <v>78</v>
      </c>
      <c r="B9">
        <v>893.34399999999994</v>
      </c>
    </row>
    <row r="10" spans="1:9" x14ac:dyDescent="0.3">
      <c r="A10" s="19" t="s">
        <v>79</v>
      </c>
      <c r="B10">
        <v>93.721999999999994</v>
      </c>
    </row>
    <row r="11" spans="1:9" x14ac:dyDescent="0.3">
      <c r="A11" s="19" t="s">
        <v>80</v>
      </c>
      <c r="B11">
        <v>502.39600000000002</v>
      </c>
    </row>
    <row r="12" spans="1:9" x14ac:dyDescent="0.3">
      <c r="A12" s="19" t="s">
        <v>81</v>
      </c>
      <c r="B12">
        <v>15.552000000000003</v>
      </c>
    </row>
    <row r="13" spans="1:9" x14ac:dyDescent="0.3">
      <c r="A13" s="16" t="s">
        <v>36</v>
      </c>
      <c r="B13">
        <v>2032.056</v>
      </c>
    </row>
    <row r="14" spans="1:9" x14ac:dyDescent="0.3">
      <c r="A14" s="19" t="s">
        <v>78</v>
      </c>
      <c r="B14">
        <v>2032.056</v>
      </c>
    </row>
    <row r="15" spans="1:9" x14ac:dyDescent="0.3">
      <c r="A15" s="16" t="s">
        <v>74</v>
      </c>
      <c r="B15">
        <v>7243.5914999999986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A599-D42E-4B6F-9694-AD89AC1651DE}">
  <dimension ref="A1:M15"/>
  <sheetViews>
    <sheetView zoomScale="101" workbookViewId="0">
      <selection activeCell="K25" sqref="K25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1" spans="1:13" ht="18" x14ac:dyDescent="0.35">
      <c r="F1" s="13" t="s">
        <v>82</v>
      </c>
      <c r="G1" s="14"/>
      <c r="H1" s="14"/>
      <c r="I1" s="14"/>
      <c r="J1" s="14"/>
      <c r="K1" s="14"/>
      <c r="L1" s="14"/>
      <c r="M1" s="14"/>
    </row>
    <row r="3" spans="1:13" x14ac:dyDescent="0.3">
      <c r="A3" s="15" t="s">
        <v>73</v>
      </c>
      <c r="B3" t="s">
        <v>72</v>
      </c>
      <c r="C3" t="s">
        <v>76</v>
      </c>
    </row>
    <row r="4" spans="1:13" x14ac:dyDescent="0.3">
      <c r="A4" s="16" t="s">
        <v>41</v>
      </c>
      <c r="B4">
        <v>244.04999999999998</v>
      </c>
      <c r="C4" s="17">
        <v>-73.699600000000004</v>
      </c>
    </row>
    <row r="5" spans="1:13" x14ac:dyDescent="0.3">
      <c r="A5" s="16" t="s">
        <v>34</v>
      </c>
      <c r="B5">
        <v>35.299999999999997</v>
      </c>
      <c r="C5" s="17">
        <v>9.5076000000000001</v>
      </c>
    </row>
    <row r="6" spans="1:13" x14ac:dyDescent="0.3">
      <c r="A6" s="16" t="s">
        <v>39</v>
      </c>
      <c r="B6">
        <v>451.74400000000003</v>
      </c>
      <c r="C6" s="17">
        <v>141.94269999999992</v>
      </c>
    </row>
    <row r="7" spans="1:13" x14ac:dyDescent="0.3">
      <c r="A7" s="16" t="s">
        <v>15</v>
      </c>
      <c r="B7">
        <v>261.95999999999998</v>
      </c>
      <c r="C7" s="17">
        <v>41.913600000000002</v>
      </c>
    </row>
    <row r="8" spans="1:13" x14ac:dyDescent="0.3">
      <c r="A8" s="16" t="s">
        <v>17</v>
      </c>
      <c r="B8">
        <v>731.93999999999994</v>
      </c>
      <c r="C8" s="17">
        <v>219.58199999999997</v>
      </c>
    </row>
    <row r="9" spans="1:13" x14ac:dyDescent="0.3">
      <c r="A9" s="16" t="s">
        <v>32</v>
      </c>
      <c r="B9">
        <v>48.86</v>
      </c>
      <c r="C9" s="17">
        <v>14.169399999999996</v>
      </c>
    </row>
    <row r="10" spans="1:13" x14ac:dyDescent="0.3">
      <c r="A10" s="16" t="s">
        <v>22</v>
      </c>
      <c r="B10">
        <v>14.62</v>
      </c>
      <c r="C10" s="17">
        <v>6.8713999999999995</v>
      </c>
    </row>
    <row r="11" spans="1:13" x14ac:dyDescent="0.3">
      <c r="A11" s="16" t="s">
        <v>47</v>
      </c>
      <c r="B11">
        <v>15.552000000000003</v>
      </c>
      <c r="C11" s="17">
        <v>5.4432</v>
      </c>
    </row>
    <row r="12" spans="1:13" x14ac:dyDescent="0.3">
      <c r="A12" s="16" t="s">
        <v>37</v>
      </c>
      <c r="B12">
        <v>2032.056</v>
      </c>
      <c r="C12" s="17">
        <v>175.08300000000003</v>
      </c>
    </row>
    <row r="13" spans="1:13" x14ac:dyDescent="0.3">
      <c r="A13" s="16" t="s">
        <v>28</v>
      </c>
      <c r="B13">
        <v>743.74800000000005</v>
      </c>
      <c r="C13" s="17">
        <v>25.823999999999991</v>
      </c>
    </row>
    <row r="14" spans="1:13" x14ac:dyDescent="0.3">
      <c r="A14" s="16" t="s">
        <v>26</v>
      </c>
      <c r="B14">
        <v>2663.7615000000001</v>
      </c>
      <c r="C14" s="17">
        <v>-297.72180000000026</v>
      </c>
    </row>
    <row r="15" spans="1:13" x14ac:dyDescent="0.3">
      <c r="A15" s="16" t="s">
        <v>74</v>
      </c>
      <c r="B15">
        <v>7243.5915000000005</v>
      </c>
      <c r="C15" s="17">
        <v>268.91549999999961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3039-AE12-4BDB-AE9A-14026D56FBDF}">
  <dimension ref="A1:Q15"/>
  <sheetViews>
    <sheetView workbookViewId="0">
      <selection activeCell="I23" sqref="I23"/>
    </sheetView>
  </sheetViews>
  <sheetFormatPr defaultRowHeight="14.4" x14ac:dyDescent="0.3"/>
  <cols>
    <col min="1" max="1" width="16.109375" bestFit="1" customWidth="1"/>
    <col min="2" max="2" width="10.21875" bestFit="1" customWidth="1"/>
    <col min="3" max="3" width="12.5546875" bestFit="1" customWidth="1"/>
  </cols>
  <sheetData>
    <row r="1" spans="1:17" ht="18" x14ac:dyDescent="0.35">
      <c r="C1" s="13" t="s">
        <v>85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2"/>
      <c r="Q1" s="12"/>
    </row>
    <row r="3" spans="1:17" x14ac:dyDescent="0.3">
      <c r="A3" s="15" t="s">
        <v>73</v>
      </c>
      <c r="B3" t="s">
        <v>86</v>
      </c>
    </row>
    <row r="4" spans="1:17" x14ac:dyDescent="0.3">
      <c r="A4" s="16" t="s">
        <v>59</v>
      </c>
      <c r="B4">
        <v>2</v>
      </c>
    </row>
    <row r="5" spans="1:17" x14ac:dyDescent="0.3">
      <c r="A5" s="16" t="s">
        <v>45</v>
      </c>
      <c r="B5">
        <v>3</v>
      </c>
    </row>
    <row r="6" spans="1:17" x14ac:dyDescent="0.3">
      <c r="A6" s="16" t="s">
        <v>30</v>
      </c>
      <c r="B6">
        <v>38</v>
      </c>
    </row>
    <row r="7" spans="1:17" x14ac:dyDescent="0.3">
      <c r="A7" s="16" t="s">
        <v>12</v>
      </c>
      <c r="B7">
        <v>5</v>
      </c>
    </row>
    <row r="8" spans="1:17" x14ac:dyDescent="0.3">
      <c r="A8" s="16" t="s">
        <v>19</v>
      </c>
      <c r="B8">
        <v>2</v>
      </c>
    </row>
    <row r="9" spans="1:17" x14ac:dyDescent="0.3">
      <c r="A9" s="16" t="s">
        <v>52</v>
      </c>
      <c r="B9">
        <v>8</v>
      </c>
    </row>
    <row r="10" spans="1:17" x14ac:dyDescent="0.3">
      <c r="A10" s="16" t="s">
        <v>49</v>
      </c>
      <c r="B10">
        <v>3</v>
      </c>
    </row>
    <row r="11" spans="1:17" x14ac:dyDescent="0.3">
      <c r="A11" s="16" t="s">
        <v>67</v>
      </c>
      <c r="B11">
        <v>14</v>
      </c>
    </row>
    <row r="12" spans="1:17" x14ac:dyDescent="0.3">
      <c r="A12" s="16" t="s">
        <v>56</v>
      </c>
      <c r="B12">
        <v>6</v>
      </c>
    </row>
    <row r="13" spans="1:17" x14ac:dyDescent="0.3">
      <c r="A13" s="16" t="s">
        <v>24</v>
      </c>
      <c r="B13">
        <v>7</v>
      </c>
    </row>
    <row r="14" spans="1:17" x14ac:dyDescent="0.3">
      <c r="A14" s="16" t="s">
        <v>62</v>
      </c>
      <c r="B14">
        <v>9</v>
      </c>
    </row>
    <row r="15" spans="1:17" x14ac:dyDescent="0.3">
      <c r="A15" s="16" t="s">
        <v>74</v>
      </c>
      <c r="B15">
        <v>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6E94-B947-493C-AD92-08358F7334D5}">
  <dimension ref="E16:P21"/>
  <sheetViews>
    <sheetView topLeftCell="A8" workbookViewId="0">
      <selection activeCell="N4" sqref="N4"/>
    </sheetView>
  </sheetViews>
  <sheetFormatPr defaultRowHeight="14.4" x14ac:dyDescent="0.3"/>
  <cols>
    <col min="1" max="1" width="12.44140625" bestFit="1" customWidth="1"/>
    <col min="2" max="2" width="11.5546875" bestFit="1" customWidth="1"/>
    <col min="5" max="5" width="14.21875" customWidth="1"/>
    <col min="6" max="6" width="12.33203125" customWidth="1"/>
    <col min="14" max="14" width="39.6640625" customWidth="1"/>
  </cols>
  <sheetData>
    <row r="16" spans="5:16" ht="18" x14ac:dyDescent="0.35">
      <c r="E16" s="15" t="s">
        <v>73</v>
      </c>
      <c r="F16" t="s">
        <v>72</v>
      </c>
      <c r="I16" s="13" t="s">
        <v>87</v>
      </c>
      <c r="J16" s="13"/>
      <c r="K16" s="13"/>
      <c r="L16" s="13"/>
      <c r="M16" s="13"/>
      <c r="N16" s="13"/>
      <c r="O16" s="13"/>
      <c r="P16" s="13"/>
    </row>
    <row r="17" spans="5:14" ht="73.8" customHeight="1" x14ac:dyDescent="0.3">
      <c r="E17" s="16" t="s">
        <v>78</v>
      </c>
      <c r="F17">
        <v>4680.4440000000004</v>
      </c>
      <c r="N17" s="20"/>
    </row>
    <row r="18" spans="5:14" x14ac:dyDescent="0.3">
      <c r="E18" s="16" t="s">
        <v>79</v>
      </c>
      <c r="F18">
        <v>1051.2995000000001</v>
      </c>
    </row>
    <row r="19" spans="5:14" x14ac:dyDescent="0.3">
      <c r="E19" s="16" t="s">
        <v>80</v>
      </c>
      <c r="F19">
        <v>1496.2959999999998</v>
      </c>
    </row>
    <row r="20" spans="5:14" x14ac:dyDescent="0.3">
      <c r="E20" s="16" t="s">
        <v>81</v>
      </c>
      <c r="F20">
        <v>15.552000000000003</v>
      </c>
    </row>
    <row r="21" spans="5:14" x14ac:dyDescent="0.3">
      <c r="E21" s="16" t="s">
        <v>74</v>
      </c>
      <c r="F21">
        <v>7243.5915000000005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negative="1" xr2:uid="{2BE36561-FB31-4471-937E-E8930D522B2D}">
          <x14:colorSeries theme="8"/>
          <x14:colorNegative theme="8"/>
          <x14:colorAxis rgb="FF000000"/>
          <x14:colorMarkers theme="8"/>
          <x14:colorFirst theme="8" tint="-0.249977111117893"/>
          <x14:colorLast theme="8" tint="-0.249977111117893"/>
          <x14:colorHigh theme="8"/>
          <x14:colorLow theme="8"/>
          <x14:sparklines>
            <x14:sparkline>
              <xm:f>'Q8 CHARTS'!F17:F20</xm:f>
              <xm:sqref>N17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73CC-778E-4529-A273-E49FC1736724}">
  <dimension ref="A1:K250"/>
  <sheetViews>
    <sheetView topLeftCell="B241" workbookViewId="0">
      <selection activeCell="E264" sqref="E264"/>
    </sheetView>
  </sheetViews>
  <sheetFormatPr defaultRowHeight="14.4" x14ac:dyDescent="0.3"/>
  <cols>
    <col min="1" max="1" width="8.88671875" style="27"/>
    <col min="2" max="2" width="27.6640625" style="5" customWidth="1"/>
    <col min="3" max="3" width="33.5546875" style="43" customWidth="1"/>
    <col min="4" max="4" width="20.44140625" style="37" customWidth="1"/>
    <col min="5" max="5" width="26.88671875" style="27" customWidth="1"/>
    <col min="6" max="6" width="18.109375" style="43" customWidth="1"/>
    <col min="7" max="7" width="30.6640625" style="37" customWidth="1"/>
    <col min="8" max="8" width="21" style="37" customWidth="1"/>
    <col min="9" max="9" width="10.109375" bestFit="1" customWidth="1"/>
    <col min="10" max="10" width="12.6640625" style="27" customWidth="1"/>
    <col min="11" max="11" width="9.21875" bestFit="1" customWidth="1"/>
  </cols>
  <sheetData>
    <row r="1" spans="1:11" ht="26.4" thickBot="1" x14ac:dyDescent="0.55000000000000004">
      <c r="A1" s="22" t="s">
        <v>89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1.6" thickBot="1" x14ac:dyDescent="0.45">
      <c r="A2" s="23" t="s">
        <v>0</v>
      </c>
      <c r="B2" s="45" t="s">
        <v>1</v>
      </c>
      <c r="C2" s="46" t="s">
        <v>2</v>
      </c>
      <c r="D2" s="36" t="s">
        <v>3</v>
      </c>
      <c r="E2" s="26" t="s">
        <v>4</v>
      </c>
      <c r="F2" s="42" t="s">
        <v>5</v>
      </c>
      <c r="G2" s="36" t="s">
        <v>6</v>
      </c>
      <c r="H2" s="36" t="s">
        <v>7</v>
      </c>
      <c r="I2" s="26" t="s">
        <v>8</v>
      </c>
      <c r="J2" s="26" t="s">
        <v>88</v>
      </c>
      <c r="K2" s="3" t="s">
        <v>10</v>
      </c>
    </row>
    <row r="3" spans="1:11" x14ac:dyDescent="0.3">
      <c r="A3" s="24">
        <v>1</v>
      </c>
      <c r="B3" s="5">
        <v>42685</v>
      </c>
      <c r="C3" s="43" t="s">
        <v>11</v>
      </c>
      <c r="D3" s="37" t="s">
        <v>12</v>
      </c>
      <c r="E3" s="27">
        <v>42420</v>
      </c>
      <c r="F3" s="43" t="s">
        <v>13</v>
      </c>
      <c r="G3" s="37" t="s">
        <v>14</v>
      </c>
      <c r="H3" s="37" t="s">
        <v>15</v>
      </c>
      <c r="I3" s="27">
        <v>261.95999999999998</v>
      </c>
      <c r="J3" s="27">
        <v>2</v>
      </c>
      <c r="K3" s="6">
        <v>41.913600000000002</v>
      </c>
    </row>
    <row r="4" spans="1:11" x14ac:dyDescent="0.3">
      <c r="A4" s="24">
        <v>2</v>
      </c>
      <c r="B4" s="5">
        <v>42685</v>
      </c>
      <c r="C4" s="43" t="s">
        <v>11</v>
      </c>
      <c r="D4" s="37" t="s">
        <v>12</v>
      </c>
      <c r="E4" s="27">
        <v>42420</v>
      </c>
      <c r="F4" s="43" t="s">
        <v>16</v>
      </c>
      <c r="G4" s="37" t="s">
        <v>14</v>
      </c>
      <c r="H4" s="37" t="s">
        <v>17</v>
      </c>
      <c r="I4" s="27">
        <v>731.93999999999994</v>
      </c>
      <c r="J4" s="27">
        <v>3</v>
      </c>
      <c r="K4" s="6">
        <v>219.58199999999997</v>
      </c>
    </row>
    <row r="5" spans="1:11" x14ac:dyDescent="0.3">
      <c r="A5" s="24">
        <v>3</v>
      </c>
      <c r="B5" s="5">
        <v>42537</v>
      </c>
      <c r="C5" s="43" t="s">
        <v>18</v>
      </c>
      <c r="D5" s="37" t="s">
        <v>19</v>
      </c>
      <c r="E5" s="27">
        <v>90036</v>
      </c>
      <c r="F5" s="43" t="s">
        <v>20</v>
      </c>
      <c r="G5" s="37" t="s">
        <v>21</v>
      </c>
      <c r="H5" s="37" t="s">
        <v>22</v>
      </c>
      <c r="I5" s="27">
        <v>14.62</v>
      </c>
      <c r="J5" s="27">
        <v>2</v>
      </c>
      <c r="K5" s="6">
        <v>6.8713999999999995</v>
      </c>
    </row>
    <row r="6" spans="1:11" x14ac:dyDescent="0.3">
      <c r="A6" s="24">
        <v>4</v>
      </c>
      <c r="B6" s="5">
        <v>42295</v>
      </c>
      <c r="C6" s="43" t="s">
        <v>23</v>
      </c>
      <c r="D6" s="37" t="s">
        <v>24</v>
      </c>
      <c r="E6" s="27">
        <v>33311</v>
      </c>
      <c r="F6" s="43" t="s">
        <v>25</v>
      </c>
      <c r="G6" s="37" t="s">
        <v>14</v>
      </c>
      <c r="H6" s="37" t="s">
        <v>26</v>
      </c>
      <c r="I6" s="27">
        <v>957.57749999999999</v>
      </c>
      <c r="J6" s="27">
        <v>5</v>
      </c>
      <c r="K6" s="6">
        <v>-383.03100000000006</v>
      </c>
    </row>
    <row r="7" spans="1:11" x14ac:dyDescent="0.3">
      <c r="A7" s="24">
        <v>5</v>
      </c>
      <c r="B7" s="5">
        <v>42295</v>
      </c>
      <c r="C7" s="43" t="s">
        <v>23</v>
      </c>
      <c r="D7" s="37" t="s">
        <v>24</v>
      </c>
      <c r="E7" s="27">
        <v>33311</v>
      </c>
      <c r="F7" s="43" t="s">
        <v>27</v>
      </c>
      <c r="G7" s="37" t="s">
        <v>21</v>
      </c>
      <c r="H7" s="37" t="s">
        <v>28</v>
      </c>
      <c r="I7" s="27">
        <v>22.368000000000002</v>
      </c>
      <c r="J7" s="27">
        <v>2</v>
      </c>
      <c r="K7" s="6">
        <v>2.5163999999999991</v>
      </c>
    </row>
    <row r="8" spans="1:11" x14ac:dyDescent="0.3">
      <c r="A8" s="24">
        <v>6</v>
      </c>
      <c r="B8" s="5">
        <v>41804</v>
      </c>
      <c r="C8" s="43" t="s">
        <v>29</v>
      </c>
      <c r="D8" s="37" t="s">
        <v>30</v>
      </c>
      <c r="E8" s="27">
        <v>90032</v>
      </c>
      <c r="F8" s="43" t="s">
        <v>31</v>
      </c>
      <c r="G8" s="37" t="s">
        <v>14</v>
      </c>
      <c r="H8" s="37" t="s">
        <v>32</v>
      </c>
      <c r="I8" s="27">
        <v>48.86</v>
      </c>
      <c r="J8" s="27">
        <v>7</v>
      </c>
      <c r="K8" s="6">
        <v>14.169399999999996</v>
      </c>
    </row>
    <row r="9" spans="1:11" x14ac:dyDescent="0.3">
      <c r="A9" s="24">
        <v>7</v>
      </c>
      <c r="B9" s="5">
        <v>41804</v>
      </c>
      <c r="C9" s="43" t="s">
        <v>29</v>
      </c>
      <c r="D9" s="37" t="s">
        <v>30</v>
      </c>
      <c r="E9" s="27">
        <v>90032</v>
      </c>
      <c r="F9" s="43" t="s">
        <v>33</v>
      </c>
      <c r="G9" s="37" t="s">
        <v>21</v>
      </c>
      <c r="H9" s="37" t="s">
        <v>34</v>
      </c>
      <c r="I9" s="27">
        <v>7.28</v>
      </c>
      <c r="J9" s="27">
        <v>4</v>
      </c>
      <c r="K9" s="6">
        <v>1.9656000000000002</v>
      </c>
    </row>
    <row r="10" spans="1:11" x14ac:dyDescent="0.3">
      <c r="A10" s="24">
        <v>8</v>
      </c>
      <c r="B10" s="5">
        <v>41804</v>
      </c>
      <c r="C10" s="43" t="s">
        <v>29</v>
      </c>
      <c r="D10" s="37" t="s">
        <v>30</v>
      </c>
      <c r="E10" s="27">
        <v>90032</v>
      </c>
      <c r="F10" s="43" t="s">
        <v>35</v>
      </c>
      <c r="G10" s="37" t="s">
        <v>36</v>
      </c>
      <c r="H10" s="37" t="s">
        <v>37</v>
      </c>
      <c r="I10" s="27">
        <v>907.15200000000004</v>
      </c>
      <c r="J10" s="27">
        <v>6</v>
      </c>
      <c r="K10" s="6">
        <v>90.715200000000038</v>
      </c>
    </row>
    <row r="11" spans="1:11" x14ac:dyDescent="0.3">
      <c r="A11" s="24">
        <v>9</v>
      </c>
      <c r="B11" s="5">
        <v>41804</v>
      </c>
      <c r="C11" s="43" t="s">
        <v>29</v>
      </c>
      <c r="D11" s="37" t="s">
        <v>30</v>
      </c>
      <c r="E11" s="27">
        <v>90032</v>
      </c>
      <c r="F11" s="43" t="s">
        <v>38</v>
      </c>
      <c r="G11" s="37" t="s">
        <v>21</v>
      </c>
      <c r="H11" s="37" t="s">
        <v>39</v>
      </c>
      <c r="I11" s="27">
        <v>18.504000000000001</v>
      </c>
      <c r="J11" s="27">
        <v>3</v>
      </c>
      <c r="K11" s="6">
        <v>5.7824999999999998</v>
      </c>
    </row>
    <row r="12" spans="1:11" x14ac:dyDescent="0.3">
      <c r="A12" s="24">
        <v>10</v>
      </c>
      <c r="B12" s="5">
        <v>41804</v>
      </c>
      <c r="C12" s="43" t="s">
        <v>29</v>
      </c>
      <c r="D12" s="37" t="s">
        <v>30</v>
      </c>
      <c r="E12" s="27">
        <v>90032</v>
      </c>
      <c r="F12" s="43" t="s">
        <v>40</v>
      </c>
      <c r="G12" s="37" t="s">
        <v>21</v>
      </c>
      <c r="H12" s="37" t="s">
        <v>41</v>
      </c>
      <c r="I12" s="27">
        <v>114.9</v>
      </c>
      <c r="J12" s="27">
        <v>5</v>
      </c>
      <c r="K12" s="6">
        <v>34.469999999999992</v>
      </c>
    </row>
    <row r="13" spans="1:11" x14ac:dyDescent="0.3">
      <c r="A13" s="24">
        <v>11</v>
      </c>
      <c r="B13" s="5">
        <v>41804</v>
      </c>
      <c r="C13" s="43" t="s">
        <v>29</v>
      </c>
      <c r="D13" s="37" t="s">
        <v>30</v>
      </c>
      <c r="E13" s="27">
        <v>90032</v>
      </c>
      <c r="F13" s="43" t="s">
        <v>42</v>
      </c>
      <c r="G13" s="37" t="s">
        <v>14</v>
      </c>
      <c r="H13" s="37" t="s">
        <v>26</v>
      </c>
      <c r="I13" s="27">
        <v>1706.1840000000002</v>
      </c>
      <c r="J13" s="27">
        <v>9</v>
      </c>
      <c r="K13" s="6">
        <v>85.309199999999805</v>
      </c>
    </row>
    <row r="14" spans="1:11" x14ac:dyDescent="0.3">
      <c r="A14" s="24">
        <v>12</v>
      </c>
      <c r="B14" s="5">
        <v>41804</v>
      </c>
      <c r="C14" s="43" t="s">
        <v>29</v>
      </c>
      <c r="D14" s="37" t="s">
        <v>30</v>
      </c>
      <c r="E14" s="27">
        <v>90032</v>
      </c>
      <c r="F14" s="43" t="s">
        <v>43</v>
      </c>
      <c r="G14" s="37" t="s">
        <v>36</v>
      </c>
      <c r="H14" s="37" t="s">
        <v>37</v>
      </c>
      <c r="I14" s="27">
        <v>911.42399999999998</v>
      </c>
      <c r="J14" s="27">
        <v>4</v>
      </c>
      <c r="K14" s="6">
        <v>68.356800000000021</v>
      </c>
    </row>
    <row r="15" spans="1:11" x14ac:dyDescent="0.3">
      <c r="A15" s="24">
        <v>13</v>
      </c>
      <c r="B15" s="5">
        <v>42845</v>
      </c>
      <c r="C15" s="43" t="s">
        <v>44</v>
      </c>
      <c r="D15" s="37" t="s">
        <v>45</v>
      </c>
      <c r="E15" s="27">
        <v>28027</v>
      </c>
      <c r="F15" s="43" t="s">
        <v>46</v>
      </c>
      <c r="G15" s="37" t="s">
        <v>21</v>
      </c>
      <c r="H15" s="37" t="s">
        <v>47</v>
      </c>
      <c r="I15" s="27">
        <v>15.552000000000003</v>
      </c>
      <c r="J15" s="27">
        <v>3</v>
      </c>
      <c r="K15" s="6">
        <v>5.4432</v>
      </c>
    </row>
    <row r="16" spans="1:11" x14ac:dyDescent="0.3">
      <c r="A16" s="24">
        <v>14</v>
      </c>
      <c r="B16" s="5">
        <v>42714</v>
      </c>
      <c r="C16" s="43" t="s">
        <v>48</v>
      </c>
      <c r="D16" s="37" t="s">
        <v>49</v>
      </c>
      <c r="E16" s="27">
        <v>98103</v>
      </c>
      <c r="F16" s="43" t="s">
        <v>50</v>
      </c>
      <c r="G16" s="37" t="s">
        <v>21</v>
      </c>
      <c r="H16" s="37" t="s">
        <v>39</v>
      </c>
      <c r="I16" s="27">
        <v>407.97600000000006</v>
      </c>
      <c r="J16" s="27">
        <v>3</v>
      </c>
      <c r="K16" s="6">
        <v>132.59219999999993</v>
      </c>
    </row>
    <row r="17" spans="1:11" x14ac:dyDescent="0.3">
      <c r="A17" s="24">
        <v>15</v>
      </c>
      <c r="B17" s="5">
        <v>42334</v>
      </c>
      <c r="C17" s="43" t="s">
        <v>51</v>
      </c>
      <c r="D17" s="37" t="s">
        <v>52</v>
      </c>
      <c r="E17" s="27">
        <v>76106</v>
      </c>
      <c r="F17" s="43" t="s">
        <v>53</v>
      </c>
      <c r="G17" s="37" t="s">
        <v>21</v>
      </c>
      <c r="H17" s="37" t="s">
        <v>41</v>
      </c>
      <c r="I17" s="27">
        <v>68.809999999999988</v>
      </c>
      <c r="J17" s="27">
        <v>5</v>
      </c>
      <c r="K17" s="6">
        <v>-123.858</v>
      </c>
    </row>
    <row r="18" spans="1:11" x14ac:dyDescent="0.3">
      <c r="A18" s="24">
        <v>16</v>
      </c>
      <c r="B18" s="5">
        <v>42334</v>
      </c>
      <c r="C18" s="43" t="s">
        <v>51</v>
      </c>
      <c r="D18" s="37" t="s">
        <v>52</v>
      </c>
      <c r="E18" s="27">
        <v>76106</v>
      </c>
      <c r="F18" s="43" t="s">
        <v>54</v>
      </c>
      <c r="G18" s="37" t="s">
        <v>21</v>
      </c>
      <c r="H18" s="37" t="s">
        <v>39</v>
      </c>
      <c r="I18" s="27">
        <v>2.5439999999999996</v>
      </c>
      <c r="J18" s="27">
        <v>3</v>
      </c>
      <c r="K18" s="6">
        <v>-3.8160000000000016</v>
      </c>
    </row>
    <row r="19" spans="1:11" x14ac:dyDescent="0.3">
      <c r="A19" s="24">
        <v>17</v>
      </c>
      <c r="B19" s="5">
        <v>41961</v>
      </c>
      <c r="C19" s="43" t="s">
        <v>55</v>
      </c>
      <c r="D19" s="37" t="s">
        <v>56</v>
      </c>
      <c r="E19" s="27">
        <v>53711</v>
      </c>
      <c r="F19" s="43" t="s">
        <v>57</v>
      </c>
      <c r="G19" s="37" t="s">
        <v>21</v>
      </c>
      <c r="H19" s="37" t="s">
        <v>28</v>
      </c>
      <c r="I19" s="27">
        <v>665.88</v>
      </c>
      <c r="J19" s="27">
        <v>6</v>
      </c>
      <c r="K19" s="6">
        <v>13.317599999999999</v>
      </c>
    </row>
    <row r="20" spans="1:11" x14ac:dyDescent="0.3">
      <c r="A20" s="24">
        <v>18</v>
      </c>
      <c r="B20" s="5">
        <v>41774</v>
      </c>
      <c r="C20" s="43" t="s">
        <v>58</v>
      </c>
      <c r="D20" s="37" t="s">
        <v>59</v>
      </c>
      <c r="E20" s="27">
        <v>84084</v>
      </c>
      <c r="F20" s="43" t="s">
        <v>60</v>
      </c>
      <c r="G20" s="37" t="s">
        <v>21</v>
      </c>
      <c r="H20" s="37" t="s">
        <v>28</v>
      </c>
      <c r="I20" s="27">
        <v>55.5</v>
      </c>
      <c r="J20" s="27">
        <v>2</v>
      </c>
      <c r="K20" s="6">
        <v>9.9899999999999949</v>
      </c>
    </row>
    <row r="21" spans="1:11" x14ac:dyDescent="0.3">
      <c r="A21" s="24">
        <v>19</v>
      </c>
      <c r="B21" s="5">
        <v>41883</v>
      </c>
      <c r="C21" s="43" t="s">
        <v>61</v>
      </c>
      <c r="D21" s="37" t="s">
        <v>62</v>
      </c>
      <c r="E21" s="27">
        <v>94109</v>
      </c>
      <c r="F21" s="43" t="s">
        <v>63</v>
      </c>
      <c r="G21" s="37" t="s">
        <v>21</v>
      </c>
      <c r="H21" s="37" t="s">
        <v>34</v>
      </c>
      <c r="I21" s="27">
        <v>8.56</v>
      </c>
      <c r="J21" s="27">
        <v>2</v>
      </c>
      <c r="K21" s="6">
        <v>2.4823999999999993</v>
      </c>
    </row>
    <row r="22" spans="1:11" x14ac:dyDescent="0.3">
      <c r="A22" s="24">
        <v>20</v>
      </c>
      <c r="B22" s="5">
        <v>41883</v>
      </c>
      <c r="C22" s="43" t="s">
        <v>61</v>
      </c>
      <c r="D22" s="37" t="s">
        <v>62</v>
      </c>
      <c r="E22" s="27">
        <v>94109</v>
      </c>
      <c r="F22" s="43" t="s">
        <v>64</v>
      </c>
      <c r="G22" s="37" t="s">
        <v>36</v>
      </c>
      <c r="H22" s="37" t="s">
        <v>37</v>
      </c>
      <c r="I22" s="27">
        <v>213.48000000000002</v>
      </c>
      <c r="J22" s="27">
        <v>3</v>
      </c>
      <c r="K22" s="6">
        <v>16.010999999999981</v>
      </c>
    </row>
    <row r="23" spans="1:11" x14ac:dyDescent="0.3">
      <c r="A23" s="24">
        <v>21</v>
      </c>
      <c r="B23" s="5">
        <v>41883</v>
      </c>
      <c r="C23" s="43" t="s">
        <v>61</v>
      </c>
      <c r="D23" s="37" t="s">
        <v>62</v>
      </c>
      <c r="E23" s="27">
        <v>94109</v>
      </c>
      <c r="F23" s="43" t="s">
        <v>65</v>
      </c>
      <c r="G23" s="37" t="s">
        <v>21</v>
      </c>
      <c r="H23" s="37" t="s">
        <v>39</v>
      </c>
      <c r="I23" s="27">
        <v>22.72</v>
      </c>
      <c r="J23" s="27">
        <v>4</v>
      </c>
      <c r="K23" s="6">
        <v>7.3839999999999986</v>
      </c>
    </row>
    <row r="24" spans="1:11" x14ac:dyDescent="0.3">
      <c r="A24" s="24">
        <v>22</v>
      </c>
      <c r="B24" s="5">
        <v>42717</v>
      </c>
      <c r="C24" s="43" t="s">
        <v>66</v>
      </c>
      <c r="D24" s="37" t="s">
        <v>67</v>
      </c>
      <c r="E24" s="27">
        <v>68025</v>
      </c>
      <c r="F24" s="43" t="s">
        <v>68</v>
      </c>
      <c r="G24" s="37" t="s">
        <v>21</v>
      </c>
      <c r="H24" s="37" t="s">
        <v>34</v>
      </c>
      <c r="I24" s="27">
        <v>19.459999999999997</v>
      </c>
      <c r="J24" s="27">
        <v>7</v>
      </c>
      <c r="K24" s="6">
        <v>5.0595999999999997</v>
      </c>
    </row>
    <row r="25" spans="1:11" ht="15" thickBot="1" x14ac:dyDescent="0.35">
      <c r="A25" s="25">
        <v>23</v>
      </c>
      <c r="B25" s="8">
        <v>42717</v>
      </c>
      <c r="C25" s="44" t="s">
        <v>66</v>
      </c>
      <c r="D25" s="38" t="s">
        <v>67</v>
      </c>
      <c r="E25" s="28">
        <v>68025</v>
      </c>
      <c r="F25" s="44" t="s">
        <v>69</v>
      </c>
      <c r="G25" s="38" t="s">
        <v>21</v>
      </c>
      <c r="H25" s="38" t="s">
        <v>41</v>
      </c>
      <c r="I25" s="28">
        <v>60.339999999999996</v>
      </c>
      <c r="J25" s="28">
        <v>7</v>
      </c>
      <c r="K25" s="10">
        <v>15.688400000000001</v>
      </c>
    </row>
    <row r="26" spans="1:11" ht="26.4" thickBot="1" x14ac:dyDescent="0.55000000000000004">
      <c r="A26" s="29" t="s">
        <v>90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ht="21.6" thickBot="1" x14ac:dyDescent="0.45">
      <c r="A27" s="23" t="s">
        <v>0</v>
      </c>
      <c r="B27" s="45" t="s">
        <v>1</v>
      </c>
      <c r="C27" s="46" t="s">
        <v>2</v>
      </c>
      <c r="D27" s="36" t="s">
        <v>3</v>
      </c>
      <c r="E27" s="26" t="s">
        <v>4</v>
      </c>
      <c r="F27" s="42" t="s">
        <v>5</v>
      </c>
      <c r="G27" s="36" t="s">
        <v>6</v>
      </c>
      <c r="H27" s="36" t="s">
        <v>7</v>
      </c>
      <c r="I27" s="26" t="s">
        <v>8</v>
      </c>
      <c r="J27" s="26" t="s">
        <v>88</v>
      </c>
      <c r="K27" s="3" t="s">
        <v>10</v>
      </c>
    </row>
    <row r="28" spans="1:11" x14ac:dyDescent="0.3">
      <c r="A28" s="24">
        <v>1</v>
      </c>
      <c r="B28" s="5">
        <v>42685</v>
      </c>
      <c r="C28" s="43" t="s">
        <v>11</v>
      </c>
      <c r="D28" s="37" t="s">
        <v>12</v>
      </c>
      <c r="E28" s="27">
        <v>42420</v>
      </c>
      <c r="F28" s="43" t="s">
        <v>13</v>
      </c>
      <c r="G28" s="37" t="s">
        <v>14</v>
      </c>
      <c r="H28" s="37" t="s">
        <v>15</v>
      </c>
      <c r="I28" s="27">
        <v>261.95999999999998</v>
      </c>
      <c r="J28" s="27">
        <v>2</v>
      </c>
      <c r="K28" s="6">
        <v>41.913600000000002</v>
      </c>
    </row>
    <row r="29" spans="1:11" x14ac:dyDescent="0.3">
      <c r="A29" s="24">
        <v>2</v>
      </c>
      <c r="B29" s="5">
        <v>42685</v>
      </c>
      <c r="C29" s="43" t="s">
        <v>11</v>
      </c>
      <c r="D29" s="37" t="s">
        <v>12</v>
      </c>
      <c r="E29" s="27">
        <v>42420</v>
      </c>
      <c r="F29" s="43" t="s">
        <v>16</v>
      </c>
      <c r="G29" s="37" t="s">
        <v>14</v>
      </c>
      <c r="H29" s="37" t="s">
        <v>17</v>
      </c>
      <c r="I29" s="27">
        <v>731.93999999999994</v>
      </c>
      <c r="J29" s="27">
        <v>3</v>
      </c>
      <c r="K29" s="6">
        <v>219.58199999999997</v>
      </c>
    </row>
    <row r="30" spans="1:11" x14ac:dyDescent="0.3">
      <c r="A30" s="24">
        <v>3</v>
      </c>
      <c r="B30" s="5">
        <v>42537</v>
      </c>
      <c r="C30" s="43" t="s">
        <v>18</v>
      </c>
      <c r="D30" s="37" t="s">
        <v>19</v>
      </c>
      <c r="E30" s="27">
        <v>90036</v>
      </c>
      <c r="F30" s="43" t="s">
        <v>20</v>
      </c>
      <c r="G30" s="37" t="s">
        <v>21</v>
      </c>
      <c r="H30" s="37" t="s">
        <v>22</v>
      </c>
      <c r="I30" s="27">
        <v>14.62</v>
      </c>
      <c r="J30" s="27">
        <v>2</v>
      </c>
      <c r="K30" s="6">
        <v>6.8713999999999995</v>
      </c>
    </row>
    <row r="31" spans="1:11" x14ac:dyDescent="0.3">
      <c r="A31" s="24">
        <v>4</v>
      </c>
      <c r="B31" s="5">
        <v>42295</v>
      </c>
      <c r="C31" s="43" t="s">
        <v>23</v>
      </c>
      <c r="D31" s="37" t="s">
        <v>24</v>
      </c>
      <c r="E31" s="27">
        <v>33311</v>
      </c>
      <c r="F31" s="43" t="s">
        <v>25</v>
      </c>
      <c r="G31" s="37" t="s">
        <v>14</v>
      </c>
      <c r="H31" s="37" t="s">
        <v>26</v>
      </c>
      <c r="I31" s="27">
        <v>957.57749999999999</v>
      </c>
      <c r="J31" s="27">
        <v>5</v>
      </c>
      <c r="K31" s="6">
        <v>-383.03100000000006</v>
      </c>
    </row>
    <row r="32" spans="1:11" x14ac:dyDescent="0.3">
      <c r="A32" s="24">
        <v>5</v>
      </c>
      <c r="B32" s="5">
        <v>42295</v>
      </c>
      <c r="C32" s="43" t="s">
        <v>23</v>
      </c>
      <c r="D32" s="37" t="s">
        <v>24</v>
      </c>
      <c r="E32" s="27">
        <v>33311</v>
      </c>
      <c r="F32" s="43" t="s">
        <v>27</v>
      </c>
      <c r="G32" s="37" t="s">
        <v>21</v>
      </c>
      <c r="H32" s="37" t="s">
        <v>28</v>
      </c>
      <c r="I32" s="27">
        <v>22.368000000000002</v>
      </c>
      <c r="J32" s="27">
        <v>2</v>
      </c>
      <c r="K32" s="6">
        <v>2.5163999999999991</v>
      </c>
    </row>
    <row r="33" spans="1:11" x14ac:dyDescent="0.3">
      <c r="A33" s="24">
        <v>6</v>
      </c>
      <c r="B33" s="5">
        <v>41804</v>
      </c>
      <c r="C33" s="43" t="s">
        <v>29</v>
      </c>
      <c r="D33" s="37" t="s">
        <v>30</v>
      </c>
      <c r="E33" s="27">
        <v>90032</v>
      </c>
      <c r="F33" s="43" t="s">
        <v>31</v>
      </c>
      <c r="G33" s="37" t="s">
        <v>14</v>
      </c>
      <c r="H33" s="37" t="s">
        <v>32</v>
      </c>
      <c r="I33" s="27">
        <v>48.86</v>
      </c>
      <c r="J33" s="27">
        <v>7</v>
      </c>
      <c r="K33" s="6">
        <v>14.169399999999996</v>
      </c>
    </row>
    <row r="34" spans="1:11" x14ac:dyDescent="0.3">
      <c r="A34" s="24">
        <v>7</v>
      </c>
      <c r="B34" s="5">
        <v>41804</v>
      </c>
      <c r="C34" s="43" t="s">
        <v>29</v>
      </c>
      <c r="D34" s="37" t="s">
        <v>30</v>
      </c>
      <c r="E34" s="27">
        <v>90032</v>
      </c>
      <c r="F34" s="43" t="s">
        <v>33</v>
      </c>
      <c r="G34" s="37" t="s">
        <v>21</v>
      </c>
      <c r="H34" s="37" t="s">
        <v>34</v>
      </c>
      <c r="I34" s="27">
        <v>7.28</v>
      </c>
      <c r="J34" s="27">
        <v>4</v>
      </c>
      <c r="K34" s="6">
        <v>1.9656000000000002</v>
      </c>
    </row>
    <row r="35" spans="1:11" x14ac:dyDescent="0.3">
      <c r="A35" s="24">
        <v>8</v>
      </c>
      <c r="B35" s="5">
        <v>41804</v>
      </c>
      <c r="C35" s="43" t="s">
        <v>29</v>
      </c>
      <c r="D35" s="37" t="s">
        <v>30</v>
      </c>
      <c r="E35" s="27">
        <v>90032</v>
      </c>
      <c r="F35" s="43" t="s">
        <v>35</v>
      </c>
      <c r="G35" s="37" t="s">
        <v>36</v>
      </c>
      <c r="H35" s="37" t="s">
        <v>37</v>
      </c>
      <c r="I35" s="27">
        <v>907.15200000000004</v>
      </c>
      <c r="J35" s="27">
        <v>6</v>
      </c>
      <c r="K35" s="6">
        <v>90.715200000000038</v>
      </c>
    </row>
    <row r="36" spans="1:11" x14ac:dyDescent="0.3">
      <c r="A36" s="24">
        <v>9</v>
      </c>
      <c r="B36" s="5">
        <v>41804</v>
      </c>
      <c r="C36" s="43" t="s">
        <v>29</v>
      </c>
      <c r="D36" s="37" t="s">
        <v>30</v>
      </c>
      <c r="E36" s="27">
        <v>90032</v>
      </c>
      <c r="F36" s="43" t="s">
        <v>38</v>
      </c>
      <c r="G36" s="37" t="s">
        <v>21</v>
      </c>
      <c r="H36" s="37" t="s">
        <v>39</v>
      </c>
      <c r="I36" s="27">
        <v>18.504000000000001</v>
      </c>
      <c r="J36" s="27">
        <v>3</v>
      </c>
      <c r="K36" s="6">
        <v>5.7824999999999998</v>
      </c>
    </row>
    <row r="37" spans="1:11" x14ac:dyDescent="0.3">
      <c r="A37" s="24">
        <v>10</v>
      </c>
      <c r="B37" s="5">
        <v>41804</v>
      </c>
      <c r="C37" s="43" t="s">
        <v>29</v>
      </c>
      <c r="D37" s="37" t="s">
        <v>30</v>
      </c>
      <c r="E37" s="27">
        <v>90032</v>
      </c>
      <c r="F37" s="43" t="s">
        <v>40</v>
      </c>
      <c r="G37" s="37" t="s">
        <v>21</v>
      </c>
      <c r="H37" s="37" t="s">
        <v>41</v>
      </c>
      <c r="I37" s="27">
        <v>114.9</v>
      </c>
      <c r="J37" s="27">
        <v>5</v>
      </c>
      <c r="K37" s="6">
        <v>34.469999999999992</v>
      </c>
    </row>
    <row r="38" spans="1:11" x14ac:dyDescent="0.3">
      <c r="A38" s="24">
        <v>11</v>
      </c>
      <c r="B38" s="5">
        <v>41804</v>
      </c>
      <c r="C38" s="43" t="s">
        <v>29</v>
      </c>
      <c r="D38" s="37" t="s">
        <v>30</v>
      </c>
      <c r="E38" s="27">
        <v>90032</v>
      </c>
      <c r="F38" s="43" t="s">
        <v>42</v>
      </c>
      <c r="G38" s="37" t="s">
        <v>14</v>
      </c>
      <c r="H38" s="37" t="s">
        <v>26</v>
      </c>
      <c r="I38" s="27">
        <v>1706.1840000000002</v>
      </c>
      <c r="J38" s="27">
        <v>9</v>
      </c>
      <c r="K38" s="6">
        <v>85.309199999999805</v>
      </c>
    </row>
    <row r="39" spans="1:11" x14ac:dyDescent="0.3">
      <c r="A39" s="24">
        <v>12</v>
      </c>
      <c r="B39" s="5">
        <v>41804</v>
      </c>
      <c r="C39" s="43" t="s">
        <v>29</v>
      </c>
      <c r="D39" s="37" t="s">
        <v>30</v>
      </c>
      <c r="E39" s="27">
        <v>90032</v>
      </c>
      <c r="F39" s="43" t="s">
        <v>43</v>
      </c>
      <c r="G39" s="37" t="s">
        <v>36</v>
      </c>
      <c r="H39" s="37" t="s">
        <v>37</v>
      </c>
      <c r="I39" s="27">
        <v>911.42399999999998</v>
      </c>
      <c r="J39" s="27">
        <v>4</v>
      </c>
      <c r="K39" s="6">
        <v>68.356800000000021</v>
      </c>
    </row>
    <row r="40" spans="1:11" x14ac:dyDescent="0.3">
      <c r="A40" s="24">
        <v>13</v>
      </c>
      <c r="B40" s="5">
        <v>42845</v>
      </c>
      <c r="C40" s="43" t="s">
        <v>44</v>
      </c>
      <c r="D40" s="37" t="s">
        <v>45</v>
      </c>
      <c r="E40" s="27">
        <v>28027</v>
      </c>
      <c r="F40" s="43" t="s">
        <v>46</v>
      </c>
      <c r="G40" s="37" t="s">
        <v>21</v>
      </c>
      <c r="H40" s="37" t="s">
        <v>47</v>
      </c>
      <c r="I40" s="27">
        <v>15.552000000000003</v>
      </c>
      <c r="J40" s="27">
        <v>3</v>
      </c>
      <c r="K40" s="6">
        <v>5.4432</v>
      </c>
    </row>
    <row r="41" spans="1:11" x14ac:dyDescent="0.3">
      <c r="A41" s="24">
        <v>14</v>
      </c>
      <c r="B41" s="5">
        <v>42714</v>
      </c>
      <c r="C41" s="43" t="s">
        <v>48</v>
      </c>
      <c r="D41" s="37" t="s">
        <v>49</v>
      </c>
      <c r="E41" s="27">
        <v>98103</v>
      </c>
      <c r="F41" s="43" t="s">
        <v>50</v>
      </c>
      <c r="G41" s="37" t="s">
        <v>21</v>
      </c>
      <c r="H41" s="37" t="s">
        <v>39</v>
      </c>
      <c r="I41" s="27">
        <v>407.97600000000006</v>
      </c>
      <c r="J41" s="27">
        <v>3</v>
      </c>
      <c r="K41" s="6">
        <v>132.59219999999993</v>
      </c>
    </row>
    <row r="42" spans="1:11" x14ac:dyDescent="0.3">
      <c r="A42" s="24">
        <v>15</v>
      </c>
      <c r="B42" s="5">
        <v>42334</v>
      </c>
      <c r="C42" s="43" t="s">
        <v>51</v>
      </c>
      <c r="D42" s="37" t="s">
        <v>52</v>
      </c>
      <c r="E42" s="27">
        <v>76106</v>
      </c>
      <c r="F42" s="43" t="s">
        <v>53</v>
      </c>
      <c r="G42" s="37" t="s">
        <v>21</v>
      </c>
      <c r="H42" s="37" t="s">
        <v>41</v>
      </c>
      <c r="I42" s="27">
        <v>68.809999999999988</v>
      </c>
      <c r="J42" s="27">
        <v>5</v>
      </c>
      <c r="K42" s="6">
        <v>-123.858</v>
      </c>
    </row>
    <row r="43" spans="1:11" x14ac:dyDescent="0.3">
      <c r="A43" s="24">
        <v>16</v>
      </c>
      <c r="B43" s="5">
        <v>42334</v>
      </c>
      <c r="C43" s="43" t="s">
        <v>51</v>
      </c>
      <c r="D43" s="37" t="s">
        <v>52</v>
      </c>
      <c r="E43" s="27">
        <v>76106</v>
      </c>
      <c r="F43" s="43" t="s">
        <v>54</v>
      </c>
      <c r="G43" s="37" t="s">
        <v>21</v>
      </c>
      <c r="H43" s="37" t="s">
        <v>39</v>
      </c>
      <c r="I43" s="27">
        <v>2.5439999999999996</v>
      </c>
      <c r="J43" s="27">
        <v>3</v>
      </c>
      <c r="K43" s="6">
        <v>-3.8160000000000016</v>
      </c>
    </row>
    <row r="44" spans="1:11" x14ac:dyDescent="0.3">
      <c r="A44" s="24">
        <v>17</v>
      </c>
      <c r="B44" s="5">
        <v>41961</v>
      </c>
      <c r="C44" s="43" t="s">
        <v>55</v>
      </c>
      <c r="D44" s="37" t="s">
        <v>56</v>
      </c>
      <c r="E44" s="27">
        <v>53711</v>
      </c>
      <c r="F44" s="43" t="s">
        <v>57</v>
      </c>
      <c r="G44" s="37" t="s">
        <v>21</v>
      </c>
      <c r="H44" s="37" t="s">
        <v>28</v>
      </c>
      <c r="I44" s="27">
        <v>665.88</v>
      </c>
      <c r="J44" s="27">
        <v>6</v>
      </c>
      <c r="K44" s="6">
        <v>13.317599999999999</v>
      </c>
    </row>
    <row r="45" spans="1:11" x14ac:dyDescent="0.3">
      <c r="A45" s="24">
        <v>18</v>
      </c>
      <c r="B45" s="5">
        <v>41774</v>
      </c>
      <c r="C45" s="43" t="s">
        <v>58</v>
      </c>
      <c r="D45" s="37" t="s">
        <v>59</v>
      </c>
      <c r="E45" s="27">
        <v>84084</v>
      </c>
      <c r="F45" s="43" t="s">
        <v>60</v>
      </c>
      <c r="G45" s="37" t="s">
        <v>21</v>
      </c>
      <c r="H45" s="37" t="s">
        <v>28</v>
      </c>
      <c r="I45" s="27">
        <v>55.5</v>
      </c>
      <c r="J45" s="27">
        <v>2</v>
      </c>
      <c r="K45" s="6">
        <v>9.9899999999999949</v>
      </c>
    </row>
    <row r="46" spans="1:11" x14ac:dyDescent="0.3">
      <c r="A46" s="24">
        <v>19</v>
      </c>
      <c r="B46" s="5">
        <v>41883</v>
      </c>
      <c r="C46" s="43" t="s">
        <v>61</v>
      </c>
      <c r="D46" s="37" t="s">
        <v>62</v>
      </c>
      <c r="E46" s="27">
        <v>94109</v>
      </c>
      <c r="F46" s="43" t="s">
        <v>63</v>
      </c>
      <c r="G46" s="37" t="s">
        <v>21</v>
      </c>
      <c r="H46" s="37" t="s">
        <v>34</v>
      </c>
      <c r="I46" s="27">
        <v>8.56</v>
      </c>
      <c r="J46" s="27">
        <v>2</v>
      </c>
      <c r="K46" s="6">
        <v>2.4823999999999993</v>
      </c>
    </row>
    <row r="47" spans="1:11" x14ac:dyDescent="0.3">
      <c r="A47" s="24">
        <v>20</v>
      </c>
      <c r="B47" s="5">
        <v>41883</v>
      </c>
      <c r="C47" s="43" t="s">
        <v>61</v>
      </c>
      <c r="D47" s="37" t="s">
        <v>62</v>
      </c>
      <c r="E47" s="27">
        <v>94109</v>
      </c>
      <c r="F47" s="43" t="s">
        <v>64</v>
      </c>
      <c r="G47" s="37" t="s">
        <v>36</v>
      </c>
      <c r="H47" s="37" t="s">
        <v>37</v>
      </c>
      <c r="I47" s="27">
        <v>213.48000000000002</v>
      </c>
      <c r="J47" s="27">
        <v>3</v>
      </c>
      <c r="K47" s="6">
        <v>16.010999999999981</v>
      </c>
    </row>
    <row r="48" spans="1:11" x14ac:dyDescent="0.3">
      <c r="A48" s="24">
        <v>21</v>
      </c>
      <c r="B48" s="5">
        <v>41883</v>
      </c>
      <c r="C48" s="43" t="s">
        <v>61</v>
      </c>
      <c r="D48" s="37" t="s">
        <v>62</v>
      </c>
      <c r="E48" s="27">
        <v>94109</v>
      </c>
      <c r="F48" s="43" t="s">
        <v>65</v>
      </c>
      <c r="G48" s="37" t="s">
        <v>21</v>
      </c>
      <c r="H48" s="37" t="s">
        <v>39</v>
      </c>
      <c r="I48" s="27">
        <v>22.72</v>
      </c>
      <c r="J48" s="27">
        <v>4</v>
      </c>
      <c r="K48" s="6">
        <v>7.3839999999999986</v>
      </c>
    </row>
    <row r="49" spans="1:11" x14ac:dyDescent="0.3">
      <c r="A49" s="24">
        <v>22</v>
      </c>
      <c r="B49" s="5">
        <v>42717</v>
      </c>
      <c r="C49" s="43" t="s">
        <v>66</v>
      </c>
      <c r="D49" s="37" t="s">
        <v>67</v>
      </c>
      <c r="E49" s="27">
        <v>68025</v>
      </c>
      <c r="F49" s="43" t="s">
        <v>68</v>
      </c>
      <c r="G49" s="37" t="s">
        <v>21</v>
      </c>
      <c r="H49" s="37" t="s">
        <v>34</v>
      </c>
      <c r="I49" s="27">
        <v>19.459999999999997</v>
      </c>
      <c r="J49" s="27">
        <v>7</v>
      </c>
      <c r="K49" s="6">
        <v>5.0595999999999997</v>
      </c>
    </row>
    <row r="50" spans="1:11" ht="15" thickBot="1" x14ac:dyDescent="0.35">
      <c r="A50" s="25">
        <v>23</v>
      </c>
      <c r="B50" s="8">
        <v>42717</v>
      </c>
      <c r="C50" s="44" t="s">
        <v>66</v>
      </c>
      <c r="D50" s="38" t="s">
        <v>67</v>
      </c>
      <c r="E50" s="28">
        <v>68025</v>
      </c>
      <c r="F50" s="44" t="s">
        <v>69</v>
      </c>
      <c r="G50" s="38" t="s">
        <v>21</v>
      </c>
      <c r="H50" s="38" t="s">
        <v>41</v>
      </c>
      <c r="I50" s="28">
        <v>60.339999999999996</v>
      </c>
      <c r="J50" s="28">
        <v>7</v>
      </c>
      <c r="K50" s="10">
        <v>15.688400000000001</v>
      </c>
    </row>
    <row r="51" spans="1:11" ht="26.4" thickBot="1" x14ac:dyDescent="0.55000000000000004">
      <c r="A51" s="29" t="s">
        <v>91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ht="21.6" thickBot="1" x14ac:dyDescent="0.45">
      <c r="A52" s="23" t="s">
        <v>0</v>
      </c>
      <c r="B52" s="45" t="s">
        <v>1</v>
      </c>
      <c r="C52" s="46" t="s">
        <v>2</v>
      </c>
      <c r="D52" s="36" t="s">
        <v>3</v>
      </c>
      <c r="E52" s="26" t="s">
        <v>4</v>
      </c>
      <c r="F52" s="42" t="s">
        <v>5</v>
      </c>
      <c r="G52" s="36" t="s">
        <v>6</v>
      </c>
      <c r="H52" s="36" t="s">
        <v>7</v>
      </c>
      <c r="I52" s="30" t="s">
        <v>8</v>
      </c>
      <c r="J52" s="26" t="s">
        <v>88</v>
      </c>
      <c r="K52" s="33" t="s">
        <v>10</v>
      </c>
    </row>
    <row r="53" spans="1:11" x14ac:dyDescent="0.3">
      <c r="A53" s="24">
        <v>1</v>
      </c>
      <c r="B53" s="5">
        <v>42685</v>
      </c>
      <c r="C53" s="43" t="s">
        <v>11</v>
      </c>
      <c r="D53" s="37" t="s">
        <v>12</v>
      </c>
      <c r="E53" s="27">
        <v>42420</v>
      </c>
      <c r="F53" s="43" t="s">
        <v>13</v>
      </c>
      <c r="G53" s="37" t="s">
        <v>14</v>
      </c>
      <c r="H53" s="37" t="s">
        <v>15</v>
      </c>
      <c r="I53" s="31">
        <v>261.95999999999998</v>
      </c>
      <c r="J53" s="27">
        <v>2</v>
      </c>
      <c r="K53" s="34">
        <v>41.913600000000002</v>
      </c>
    </row>
    <row r="54" spans="1:11" x14ac:dyDescent="0.3">
      <c r="A54" s="24">
        <v>2</v>
      </c>
      <c r="B54" s="5">
        <v>42685</v>
      </c>
      <c r="C54" s="43" t="s">
        <v>11</v>
      </c>
      <c r="D54" s="37" t="s">
        <v>12</v>
      </c>
      <c r="E54" s="27">
        <v>42420</v>
      </c>
      <c r="F54" s="43" t="s">
        <v>16</v>
      </c>
      <c r="G54" s="37" t="s">
        <v>14</v>
      </c>
      <c r="H54" s="37" t="s">
        <v>17</v>
      </c>
      <c r="I54" s="31">
        <v>731.93999999999994</v>
      </c>
      <c r="J54" s="27">
        <v>3</v>
      </c>
      <c r="K54" s="34">
        <v>219.58199999999997</v>
      </c>
    </row>
    <row r="55" spans="1:11" x14ac:dyDescent="0.3">
      <c r="A55" s="24">
        <v>3</v>
      </c>
      <c r="B55" s="5">
        <v>42537</v>
      </c>
      <c r="C55" s="43" t="s">
        <v>18</v>
      </c>
      <c r="D55" s="37" t="s">
        <v>19</v>
      </c>
      <c r="E55" s="27">
        <v>90036</v>
      </c>
      <c r="F55" s="43" t="s">
        <v>20</v>
      </c>
      <c r="G55" s="37" t="s">
        <v>21</v>
      </c>
      <c r="H55" s="37" t="s">
        <v>22</v>
      </c>
      <c r="I55" s="31">
        <v>14.62</v>
      </c>
      <c r="J55" s="27">
        <v>2</v>
      </c>
      <c r="K55" s="34">
        <v>6.8713999999999995</v>
      </c>
    </row>
    <row r="56" spans="1:11" x14ac:dyDescent="0.3">
      <c r="A56" s="24">
        <v>4</v>
      </c>
      <c r="B56" s="5">
        <v>42295</v>
      </c>
      <c r="C56" s="43" t="s">
        <v>23</v>
      </c>
      <c r="D56" s="37" t="s">
        <v>24</v>
      </c>
      <c r="E56" s="27">
        <v>33311</v>
      </c>
      <c r="F56" s="43" t="s">
        <v>25</v>
      </c>
      <c r="G56" s="37" t="s">
        <v>14</v>
      </c>
      <c r="H56" s="37" t="s">
        <v>26</v>
      </c>
      <c r="I56" s="31">
        <v>957.57749999999999</v>
      </c>
      <c r="J56" s="27">
        <v>5</v>
      </c>
      <c r="K56" s="34">
        <v>-383.03100000000006</v>
      </c>
    </row>
    <row r="57" spans="1:11" x14ac:dyDescent="0.3">
      <c r="A57" s="24">
        <v>5</v>
      </c>
      <c r="B57" s="5">
        <v>42295</v>
      </c>
      <c r="C57" s="43" t="s">
        <v>23</v>
      </c>
      <c r="D57" s="37" t="s">
        <v>24</v>
      </c>
      <c r="E57" s="27">
        <v>33311</v>
      </c>
      <c r="F57" s="43" t="s">
        <v>27</v>
      </c>
      <c r="G57" s="37" t="s">
        <v>21</v>
      </c>
      <c r="H57" s="37" t="s">
        <v>28</v>
      </c>
      <c r="I57" s="31">
        <v>22.368000000000002</v>
      </c>
      <c r="J57" s="27">
        <v>2</v>
      </c>
      <c r="K57" s="34">
        <v>2.5163999999999991</v>
      </c>
    </row>
    <row r="58" spans="1:11" x14ac:dyDescent="0.3">
      <c r="A58" s="24">
        <v>6</v>
      </c>
      <c r="B58" s="5">
        <v>41804</v>
      </c>
      <c r="C58" s="43" t="s">
        <v>29</v>
      </c>
      <c r="D58" s="37" t="s">
        <v>30</v>
      </c>
      <c r="E58" s="27">
        <v>90032</v>
      </c>
      <c r="F58" s="43" t="s">
        <v>31</v>
      </c>
      <c r="G58" s="37" t="s">
        <v>14</v>
      </c>
      <c r="H58" s="37" t="s">
        <v>32</v>
      </c>
      <c r="I58" s="31">
        <v>48.86</v>
      </c>
      <c r="J58" s="27">
        <v>7</v>
      </c>
      <c r="K58" s="34">
        <v>14.169399999999996</v>
      </c>
    </row>
    <row r="59" spans="1:11" x14ac:dyDescent="0.3">
      <c r="A59" s="24">
        <v>7</v>
      </c>
      <c r="B59" s="5">
        <v>41804</v>
      </c>
      <c r="C59" s="43" t="s">
        <v>29</v>
      </c>
      <c r="D59" s="37" t="s">
        <v>30</v>
      </c>
      <c r="E59" s="27">
        <v>90032</v>
      </c>
      <c r="F59" s="43" t="s">
        <v>33</v>
      </c>
      <c r="G59" s="37" t="s">
        <v>21</v>
      </c>
      <c r="H59" s="37" t="s">
        <v>34</v>
      </c>
      <c r="I59" s="31">
        <v>7.28</v>
      </c>
      <c r="J59" s="27">
        <v>4</v>
      </c>
      <c r="K59" s="34">
        <v>1.9656000000000002</v>
      </c>
    </row>
    <row r="60" spans="1:11" x14ac:dyDescent="0.3">
      <c r="A60" s="24">
        <v>8</v>
      </c>
      <c r="B60" s="5">
        <v>41804</v>
      </c>
      <c r="C60" s="43" t="s">
        <v>29</v>
      </c>
      <c r="D60" s="37" t="s">
        <v>30</v>
      </c>
      <c r="E60" s="27">
        <v>90032</v>
      </c>
      <c r="F60" s="43" t="s">
        <v>35</v>
      </c>
      <c r="G60" s="37" t="s">
        <v>36</v>
      </c>
      <c r="H60" s="37" t="s">
        <v>37</v>
      </c>
      <c r="I60" s="31">
        <v>907.15200000000004</v>
      </c>
      <c r="J60" s="27">
        <v>6</v>
      </c>
      <c r="K60" s="34">
        <v>90.715200000000038</v>
      </c>
    </row>
    <row r="61" spans="1:11" x14ac:dyDescent="0.3">
      <c r="A61" s="24">
        <v>9</v>
      </c>
      <c r="B61" s="5">
        <v>41804</v>
      </c>
      <c r="C61" s="43" t="s">
        <v>29</v>
      </c>
      <c r="D61" s="37" t="s">
        <v>30</v>
      </c>
      <c r="E61" s="27">
        <v>90032</v>
      </c>
      <c r="F61" s="43" t="s">
        <v>38</v>
      </c>
      <c r="G61" s="37" t="s">
        <v>21</v>
      </c>
      <c r="H61" s="37" t="s">
        <v>39</v>
      </c>
      <c r="I61" s="31">
        <v>18.504000000000001</v>
      </c>
      <c r="J61" s="27">
        <v>3</v>
      </c>
      <c r="K61" s="34">
        <v>5.7824999999999998</v>
      </c>
    </row>
    <row r="62" spans="1:11" x14ac:dyDescent="0.3">
      <c r="A62" s="24">
        <v>10</v>
      </c>
      <c r="B62" s="5">
        <v>41804</v>
      </c>
      <c r="C62" s="43" t="s">
        <v>29</v>
      </c>
      <c r="D62" s="37" t="s">
        <v>30</v>
      </c>
      <c r="E62" s="27">
        <v>90032</v>
      </c>
      <c r="F62" s="43" t="s">
        <v>40</v>
      </c>
      <c r="G62" s="37" t="s">
        <v>21</v>
      </c>
      <c r="H62" s="37" t="s">
        <v>41</v>
      </c>
      <c r="I62" s="31">
        <v>114.9</v>
      </c>
      <c r="J62" s="27">
        <v>5</v>
      </c>
      <c r="K62" s="34">
        <v>34.469999999999992</v>
      </c>
    </row>
    <row r="63" spans="1:11" x14ac:dyDescent="0.3">
      <c r="A63" s="24">
        <v>11</v>
      </c>
      <c r="B63" s="5">
        <v>41804</v>
      </c>
      <c r="C63" s="43" t="s">
        <v>29</v>
      </c>
      <c r="D63" s="37" t="s">
        <v>30</v>
      </c>
      <c r="E63" s="27">
        <v>90032</v>
      </c>
      <c r="F63" s="43" t="s">
        <v>42</v>
      </c>
      <c r="G63" s="37" t="s">
        <v>14</v>
      </c>
      <c r="H63" s="37" t="s">
        <v>26</v>
      </c>
      <c r="I63" s="31">
        <v>1706.1840000000002</v>
      </c>
      <c r="J63" s="27">
        <v>9</v>
      </c>
      <c r="K63" s="34">
        <v>85.309199999999805</v>
      </c>
    </row>
    <row r="64" spans="1:11" x14ac:dyDescent="0.3">
      <c r="A64" s="24">
        <v>12</v>
      </c>
      <c r="B64" s="5">
        <v>41804</v>
      </c>
      <c r="C64" s="43" t="s">
        <v>29</v>
      </c>
      <c r="D64" s="37" t="s">
        <v>30</v>
      </c>
      <c r="E64" s="27">
        <v>90032</v>
      </c>
      <c r="F64" s="43" t="s">
        <v>43</v>
      </c>
      <c r="G64" s="37" t="s">
        <v>36</v>
      </c>
      <c r="H64" s="37" t="s">
        <v>37</v>
      </c>
      <c r="I64" s="31">
        <v>911.42399999999998</v>
      </c>
      <c r="J64" s="27">
        <v>4</v>
      </c>
      <c r="K64" s="34">
        <v>68.356800000000021</v>
      </c>
    </row>
    <row r="65" spans="1:11" x14ac:dyDescent="0.3">
      <c r="A65" s="24">
        <v>13</v>
      </c>
      <c r="B65" s="5">
        <v>42845</v>
      </c>
      <c r="C65" s="43" t="s">
        <v>44</v>
      </c>
      <c r="D65" s="37" t="s">
        <v>45</v>
      </c>
      <c r="E65" s="27">
        <v>28027</v>
      </c>
      <c r="F65" s="43" t="s">
        <v>46</v>
      </c>
      <c r="G65" s="37" t="s">
        <v>21</v>
      </c>
      <c r="H65" s="37" t="s">
        <v>47</v>
      </c>
      <c r="I65" s="31">
        <v>15.552000000000003</v>
      </c>
      <c r="J65" s="27">
        <v>3</v>
      </c>
      <c r="K65" s="34">
        <v>5.4432</v>
      </c>
    </row>
    <row r="66" spans="1:11" x14ac:dyDescent="0.3">
      <c r="A66" s="24">
        <v>14</v>
      </c>
      <c r="B66" s="5">
        <v>42714</v>
      </c>
      <c r="C66" s="43" t="s">
        <v>48</v>
      </c>
      <c r="D66" s="37" t="s">
        <v>49</v>
      </c>
      <c r="E66" s="27">
        <v>98103</v>
      </c>
      <c r="F66" s="43" t="s">
        <v>50</v>
      </c>
      <c r="G66" s="37" t="s">
        <v>21</v>
      </c>
      <c r="H66" s="37" t="s">
        <v>39</v>
      </c>
      <c r="I66" s="31">
        <v>407.97600000000006</v>
      </c>
      <c r="J66" s="27">
        <v>3</v>
      </c>
      <c r="K66" s="34">
        <v>132.59219999999993</v>
      </c>
    </row>
    <row r="67" spans="1:11" x14ac:dyDescent="0.3">
      <c r="A67" s="24">
        <v>15</v>
      </c>
      <c r="B67" s="5">
        <v>42334</v>
      </c>
      <c r="C67" s="43" t="s">
        <v>51</v>
      </c>
      <c r="D67" s="37" t="s">
        <v>52</v>
      </c>
      <c r="E67" s="27">
        <v>76106</v>
      </c>
      <c r="F67" s="43" t="s">
        <v>53</v>
      </c>
      <c r="G67" s="37" t="s">
        <v>21</v>
      </c>
      <c r="H67" s="37" t="s">
        <v>41</v>
      </c>
      <c r="I67" s="31">
        <v>68.809999999999988</v>
      </c>
      <c r="J67" s="27">
        <v>5</v>
      </c>
      <c r="K67" s="34">
        <v>-123.858</v>
      </c>
    </row>
    <row r="68" spans="1:11" x14ac:dyDescent="0.3">
      <c r="A68" s="24">
        <v>16</v>
      </c>
      <c r="B68" s="5">
        <v>42334</v>
      </c>
      <c r="C68" s="43" t="s">
        <v>51</v>
      </c>
      <c r="D68" s="37" t="s">
        <v>52</v>
      </c>
      <c r="E68" s="27">
        <v>76106</v>
      </c>
      <c r="F68" s="43" t="s">
        <v>54</v>
      </c>
      <c r="G68" s="37" t="s">
        <v>21</v>
      </c>
      <c r="H68" s="37" t="s">
        <v>39</v>
      </c>
      <c r="I68" s="31">
        <v>2.5439999999999996</v>
      </c>
      <c r="J68" s="27">
        <v>3</v>
      </c>
      <c r="K68" s="34">
        <v>-3.8160000000000016</v>
      </c>
    </row>
    <row r="69" spans="1:11" x14ac:dyDescent="0.3">
      <c r="A69" s="24">
        <v>17</v>
      </c>
      <c r="B69" s="5">
        <v>41961</v>
      </c>
      <c r="C69" s="43" t="s">
        <v>55</v>
      </c>
      <c r="D69" s="37" t="s">
        <v>56</v>
      </c>
      <c r="E69" s="27">
        <v>53711</v>
      </c>
      <c r="F69" s="43" t="s">
        <v>57</v>
      </c>
      <c r="G69" s="37" t="s">
        <v>21</v>
      </c>
      <c r="H69" s="37" t="s">
        <v>28</v>
      </c>
      <c r="I69" s="31">
        <v>665.88</v>
      </c>
      <c r="J69" s="27">
        <v>6</v>
      </c>
      <c r="K69" s="34">
        <v>13.317599999999999</v>
      </c>
    </row>
    <row r="70" spans="1:11" x14ac:dyDescent="0.3">
      <c r="A70" s="24">
        <v>18</v>
      </c>
      <c r="B70" s="5">
        <v>41774</v>
      </c>
      <c r="C70" s="43" t="s">
        <v>58</v>
      </c>
      <c r="D70" s="37" t="s">
        <v>59</v>
      </c>
      <c r="E70" s="27">
        <v>84084</v>
      </c>
      <c r="F70" s="43" t="s">
        <v>60</v>
      </c>
      <c r="G70" s="37" t="s">
        <v>21</v>
      </c>
      <c r="H70" s="37" t="s">
        <v>28</v>
      </c>
      <c r="I70" s="31">
        <v>55.5</v>
      </c>
      <c r="J70" s="27">
        <v>2</v>
      </c>
      <c r="K70" s="34">
        <v>9.9899999999999949</v>
      </c>
    </row>
    <row r="71" spans="1:11" x14ac:dyDescent="0.3">
      <c r="A71" s="24">
        <v>19</v>
      </c>
      <c r="B71" s="5">
        <v>41883</v>
      </c>
      <c r="C71" s="43" t="s">
        <v>61</v>
      </c>
      <c r="D71" s="37" t="s">
        <v>62</v>
      </c>
      <c r="E71" s="27">
        <v>94109</v>
      </c>
      <c r="F71" s="43" t="s">
        <v>63</v>
      </c>
      <c r="G71" s="37" t="s">
        <v>21</v>
      </c>
      <c r="H71" s="37" t="s">
        <v>34</v>
      </c>
      <c r="I71" s="31">
        <v>8.56</v>
      </c>
      <c r="J71" s="27">
        <v>2</v>
      </c>
      <c r="K71" s="34">
        <v>2.4823999999999993</v>
      </c>
    </row>
    <row r="72" spans="1:11" x14ac:dyDescent="0.3">
      <c r="A72" s="24">
        <v>20</v>
      </c>
      <c r="B72" s="5">
        <v>41883</v>
      </c>
      <c r="C72" s="43" t="s">
        <v>61</v>
      </c>
      <c r="D72" s="37" t="s">
        <v>62</v>
      </c>
      <c r="E72" s="27">
        <v>94109</v>
      </c>
      <c r="F72" s="43" t="s">
        <v>64</v>
      </c>
      <c r="G72" s="37" t="s">
        <v>36</v>
      </c>
      <c r="H72" s="37" t="s">
        <v>37</v>
      </c>
      <c r="I72" s="31">
        <v>213.48000000000002</v>
      </c>
      <c r="J72" s="27">
        <v>3</v>
      </c>
      <c r="K72" s="34">
        <v>16.010999999999981</v>
      </c>
    </row>
    <row r="73" spans="1:11" x14ac:dyDescent="0.3">
      <c r="A73" s="24">
        <v>21</v>
      </c>
      <c r="B73" s="5">
        <v>41883</v>
      </c>
      <c r="C73" s="43" t="s">
        <v>61</v>
      </c>
      <c r="D73" s="37" t="s">
        <v>62</v>
      </c>
      <c r="E73" s="27">
        <v>94109</v>
      </c>
      <c r="F73" s="43" t="s">
        <v>65</v>
      </c>
      <c r="G73" s="37" t="s">
        <v>21</v>
      </c>
      <c r="H73" s="37" t="s">
        <v>39</v>
      </c>
      <c r="I73" s="31">
        <v>22.72</v>
      </c>
      <c r="J73" s="27">
        <v>4</v>
      </c>
      <c r="K73" s="34">
        <v>7.3839999999999986</v>
      </c>
    </row>
    <row r="74" spans="1:11" x14ac:dyDescent="0.3">
      <c r="A74" s="24">
        <v>22</v>
      </c>
      <c r="B74" s="5">
        <v>42717</v>
      </c>
      <c r="C74" s="43" t="s">
        <v>66</v>
      </c>
      <c r="D74" s="37" t="s">
        <v>67</v>
      </c>
      <c r="E74" s="27">
        <v>68025</v>
      </c>
      <c r="F74" s="43" t="s">
        <v>68</v>
      </c>
      <c r="G74" s="37" t="s">
        <v>21</v>
      </c>
      <c r="H74" s="37" t="s">
        <v>34</v>
      </c>
      <c r="I74" s="31">
        <v>19.459999999999997</v>
      </c>
      <c r="J74" s="27">
        <v>7</v>
      </c>
      <c r="K74" s="34">
        <v>5.0595999999999997</v>
      </c>
    </row>
    <row r="75" spans="1:11" ht="15" thickBot="1" x14ac:dyDescent="0.35">
      <c r="A75" s="25">
        <v>23</v>
      </c>
      <c r="B75" s="8">
        <v>42717</v>
      </c>
      <c r="C75" s="44" t="s">
        <v>66</v>
      </c>
      <c r="D75" s="38" t="s">
        <v>67</v>
      </c>
      <c r="E75" s="28">
        <v>68025</v>
      </c>
      <c r="F75" s="44" t="s">
        <v>69</v>
      </c>
      <c r="G75" s="38" t="s">
        <v>21</v>
      </c>
      <c r="H75" s="38" t="s">
        <v>41</v>
      </c>
      <c r="I75" s="32">
        <v>60.339999999999996</v>
      </c>
      <c r="J75" s="28">
        <v>7</v>
      </c>
      <c r="K75" s="35">
        <v>15.688400000000001</v>
      </c>
    </row>
    <row r="76" spans="1:11" ht="26.4" thickBot="1" x14ac:dyDescent="0.55000000000000004">
      <c r="A76" s="29" t="s">
        <v>92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spans="1:11" ht="21.6" thickBot="1" x14ac:dyDescent="0.45">
      <c r="A77" s="23" t="s">
        <v>0</v>
      </c>
      <c r="B77" s="45" t="s">
        <v>1</v>
      </c>
      <c r="C77" s="46" t="s">
        <v>2</v>
      </c>
      <c r="D77" s="36" t="s">
        <v>3</v>
      </c>
      <c r="E77" s="26" t="s">
        <v>4</v>
      </c>
      <c r="F77" s="42" t="s">
        <v>5</v>
      </c>
      <c r="G77" s="36" t="s">
        <v>6</v>
      </c>
      <c r="H77" s="36" t="s">
        <v>7</v>
      </c>
      <c r="I77" s="30" t="s">
        <v>8</v>
      </c>
      <c r="J77" s="26" t="s">
        <v>88</v>
      </c>
      <c r="K77" s="33" t="s">
        <v>10</v>
      </c>
    </row>
    <row r="78" spans="1:11" x14ac:dyDescent="0.3">
      <c r="A78" s="24">
        <v>1</v>
      </c>
      <c r="B78" s="5">
        <v>42685</v>
      </c>
      <c r="C78" s="43" t="s">
        <v>11</v>
      </c>
      <c r="D78" s="37" t="s">
        <v>12</v>
      </c>
      <c r="E78" s="27">
        <v>42420</v>
      </c>
      <c r="F78" s="43" t="s">
        <v>13</v>
      </c>
      <c r="G78" s="37" t="s">
        <v>14</v>
      </c>
      <c r="H78" s="37" t="s">
        <v>15</v>
      </c>
      <c r="I78" s="31">
        <v>261.95999999999998</v>
      </c>
      <c r="J78" s="27">
        <v>2</v>
      </c>
      <c r="K78" s="34">
        <v>41.913600000000002</v>
      </c>
    </row>
    <row r="79" spans="1:11" x14ac:dyDescent="0.3">
      <c r="A79" s="24">
        <v>2</v>
      </c>
      <c r="B79" s="5">
        <v>42685</v>
      </c>
      <c r="C79" s="43" t="s">
        <v>11</v>
      </c>
      <c r="D79" s="37" t="s">
        <v>12</v>
      </c>
      <c r="E79" s="27">
        <v>42420</v>
      </c>
      <c r="F79" s="43" t="s">
        <v>16</v>
      </c>
      <c r="G79" s="37" t="s">
        <v>14</v>
      </c>
      <c r="H79" s="37" t="s">
        <v>17</v>
      </c>
      <c r="I79" s="31">
        <v>731.93999999999994</v>
      </c>
      <c r="J79" s="27">
        <v>3</v>
      </c>
      <c r="K79" s="34">
        <v>219.58199999999997</v>
      </c>
    </row>
    <row r="80" spans="1:11" x14ac:dyDescent="0.3">
      <c r="A80" s="24">
        <v>3</v>
      </c>
      <c r="B80" s="5">
        <v>42537</v>
      </c>
      <c r="C80" s="43" t="s">
        <v>18</v>
      </c>
      <c r="D80" s="37" t="s">
        <v>19</v>
      </c>
      <c r="E80" s="27">
        <v>90036</v>
      </c>
      <c r="F80" s="43" t="s">
        <v>20</v>
      </c>
      <c r="G80" s="37" t="s">
        <v>21</v>
      </c>
      <c r="H80" s="37" t="s">
        <v>22</v>
      </c>
      <c r="I80" s="31">
        <v>14.62</v>
      </c>
      <c r="J80" s="27">
        <v>2</v>
      </c>
      <c r="K80" s="34">
        <v>6.8713999999999995</v>
      </c>
    </row>
    <row r="81" spans="1:11" x14ac:dyDescent="0.3">
      <c r="A81" s="24">
        <v>4</v>
      </c>
      <c r="B81" s="5">
        <v>42295</v>
      </c>
      <c r="C81" s="43" t="s">
        <v>23</v>
      </c>
      <c r="D81" s="37" t="s">
        <v>24</v>
      </c>
      <c r="E81" s="27">
        <v>33311</v>
      </c>
      <c r="F81" s="43" t="s">
        <v>25</v>
      </c>
      <c r="G81" s="37" t="s">
        <v>14</v>
      </c>
      <c r="H81" s="37" t="s">
        <v>26</v>
      </c>
      <c r="I81" s="31">
        <v>957.57749999999999</v>
      </c>
      <c r="J81" s="27">
        <v>5</v>
      </c>
      <c r="K81" s="34">
        <v>-383.03100000000006</v>
      </c>
    </row>
    <row r="82" spans="1:11" x14ac:dyDescent="0.3">
      <c r="A82" s="24">
        <v>5</v>
      </c>
      <c r="B82" s="5">
        <v>42295</v>
      </c>
      <c r="C82" s="43" t="s">
        <v>23</v>
      </c>
      <c r="D82" s="37" t="s">
        <v>24</v>
      </c>
      <c r="E82" s="27">
        <v>33311</v>
      </c>
      <c r="F82" s="43" t="s">
        <v>27</v>
      </c>
      <c r="G82" s="37" t="s">
        <v>21</v>
      </c>
      <c r="H82" s="37" t="s">
        <v>28</v>
      </c>
      <c r="I82" s="31">
        <v>22.368000000000002</v>
      </c>
      <c r="J82" s="27">
        <v>2</v>
      </c>
      <c r="K82" s="34">
        <v>2.5163999999999991</v>
      </c>
    </row>
    <row r="83" spans="1:11" x14ac:dyDescent="0.3">
      <c r="A83" s="24">
        <v>6</v>
      </c>
      <c r="B83" s="5">
        <v>41804</v>
      </c>
      <c r="C83" s="43" t="s">
        <v>29</v>
      </c>
      <c r="D83" s="37" t="s">
        <v>30</v>
      </c>
      <c r="E83" s="27">
        <v>90032</v>
      </c>
      <c r="F83" s="43" t="s">
        <v>31</v>
      </c>
      <c r="G83" s="37" t="s">
        <v>14</v>
      </c>
      <c r="H83" s="37" t="s">
        <v>32</v>
      </c>
      <c r="I83" s="31">
        <v>48.86</v>
      </c>
      <c r="J83" s="27">
        <v>7</v>
      </c>
      <c r="K83" s="34">
        <v>14.169399999999996</v>
      </c>
    </row>
    <row r="84" spans="1:11" x14ac:dyDescent="0.3">
      <c r="A84" s="24">
        <v>7</v>
      </c>
      <c r="B84" s="5">
        <v>41804</v>
      </c>
      <c r="C84" s="43" t="s">
        <v>29</v>
      </c>
      <c r="D84" s="37" t="s">
        <v>30</v>
      </c>
      <c r="E84" s="27">
        <v>90032</v>
      </c>
      <c r="F84" s="43" t="s">
        <v>33</v>
      </c>
      <c r="G84" s="37" t="s">
        <v>21</v>
      </c>
      <c r="H84" s="37" t="s">
        <v>34</v>
      </c>
      <c r="I84" s="31">
        <v>7.28</v>
      </c>
      <c r="J84" s="27">
        <v>4</v>
      </c>
      <c r="K84" s="34">
        <v>1.9656000000000002</v>
      </c>
    </row>
    <row r="85" spans="1:11" x14ac:dyDescent="0.3">
      <c r="A85" s="24">
        <v>8</v>
      </c>
      <c r="B85" s="5">
        <v>41804</v>
      </c>
      <c r="C85" s="43" t="s">
        <v>29</v>
      </c>
      <c r="D85" s="37" t="s">
        <v>30</v>
      </c>
      <c r="E85" s="27">
        <v>90032</v>
      </c>
      <c r="F85" s="43" t="s">
        <v>35</v>
      </c>
      <c r="G85" s="37" t="s">
        <v>36</v>
      </c>
      <c r="H85" s="37" t="s">
        <v>37</v>
      </c>
      <c r="I85" s="31">
        <v>907.15200000000004</v>
      </c>
      <c r="J85" s="27">
        <v>6</v>
      </c>
      <c r="K85" s="34">
        <v>90.715200000000038</v>
      </c>
    </row>
    <row r="86" spans="1:11" x14ac:dyDescent="0.3">
      <c r="A86" s="24">
        <v>9</v>
      </c>
      <c r="B86" s="5">
        <v>41804</v>
      </c>
      <c r="C86" s="43" t="s">
        <v>29</v>
      </c>
      <c r="D86" s="37" t="s">
        <v>30</v>
      </c>
      <c r="E86" s="27">
        <v>90032</v>
      </c>
      <c r="F86" s="43" t="s">
        <v>38</v>
      </c>
      <c r="G86" s="37" t="s">
        <v>21</v>
      </c>
      <c r="H86" s="37" t="s">
        <v>39</v>
      </c>
      <c r="I86" s="31">
        <v>18.504000000000001</v>
      </c>
      <c r="J86" s="27">
        <v>3</v>
      </c>
      <c r="K86" s="34">
        <v>5.7824999999999998</v>
      </c>
    </row>
    <row r="87" spans="1:11" x14ac:dyDescent="0.3">
      <c r="A87" s="24">
        <v>10</v>
      </c>
      <c r="B87" s="5">
        <v>41804</v>
      </c>
      <c r="C87" s="43" t="s">
        <v>29</v>
      </c>
      <c r="D87" s="37" t="s">
        <v>30</v>
      </c>
      <c r="E87" s="27">
        <v>90032</v>
      </c>
      <c r="F87" s="43" t="s">
        <v>40</v>
      </c>
      <c r="G87" s="37" t="s">
        <v>21</v>
      </c>
      <c r="H87" s="37" t="s">
        <v>41</v>
      </c>
      <c r="I87" s="31">
        <v>114.9</v>
      </c>
      <c r="J87" s="27">
        <v>5</v>
      </c>
      <c r="K87" s="34">
        <v>34.469999999999992</v>
      </c>
    </row>
    <row r="88" spans="1:11" x14ac:dyDescent="0.3">
      <c r="A88" s="24">
        <v>11</v>
      </c>
      <c r="B88" s="5">
        <v>41804</v>
      </c>
      <c r="C88" s="43" t="s">
        <v>29</v>
      </c>
      <c r="D88" s="37" t="s">
        <v>30</v>
      </c>
      <c r="E88" s="27">
        <v>90032</v>
      </c>
      <c r="F88" s="43" t="s">
        <v>42</v>
      </c>
      <c r="G88" s="37" t="s">
        <v>14</v>
      </c>
      <c r="H88" s="37" t="s">
        <v>26</v>
      </c>
      <c r="I88" s="31">
        <v>1706.1840000000002</v>
      </c>
      <c r="J88" s="27">
        <v>9</v>
      </c>
      <c r="K88" s="34">
        <v>85.309199999999805</v>
      </c>
    </row>
    <row r="89" spans="1:11" x14ac:dyDescent="0.3">
      <c r="A89" s="24">
        <v>12</v>
      </c>
      <c r="B89" s="5">
        <v>41804</v>
      </c>
      <c r="C89" s="43" t="s">
        <v>29</v>
      </c>
      <c r="D89" s="37" t="s">
        <v>30</v>
      </c>
      <c r="E89" s="27">
        <v>90032</v>
      </c>
      <c r="F89" s="43" t="s">
        <v>43</v>
      </c>
      <c r="G89" s="37" t="s">
        <v>36</v>
      </c>
      <c r="H89" s="37" t="s">
        <v>37</v>
      </c>
      <c r="I89" s="31">
        <v>911.42399999999998</v>
      </c>
      <c r="J89" s="27">
        <v>4</v>
      </c>
      <c r="K89" s="34">
        <v>68.356800000000021</v>
      </c>
    </row>
    <row r="90" spans="1:11" x14ac:dyDescent="0.3">
      <c r="A90" s="24">
        <v>13</v>
      </c>
      <c r="B90" s="5">
        <v>42845</v>
      </c>
      <c r="C90" s="43" t="s">
        <v>44</v>
      </c>
      <c r="D90" s="37" t="s">
        <v>45</v>
      </c>
      <c r="E90" s="27">
        <v>28027</v>
      </c>
      <c r="F90" s="43" t="s">
        <v>46</v>
      </c>
      <c r="G90" s="37" t="s">
        <v>21</v>
      </c>
      <c r="H90" s="37" t="s">
        <v>47</v>
      </c>
      <c r="I90" s="31">
        <v>15.552000000000003</v>
      </c>
      <c r="J90" s="27">
        <v>3</v>
      </c>
      <c r="K90" s="34">
        <v>5.4432</v>
      </c>
    </row>
    <row r="91" spans="1:11" x14ac:dyDescent="0.3">
      <c r="A91" s="24">
        <v>14</v>
      </c>
      <c r="B91" s="5">
        <v>42714</v>
      </c>
      <c r="C91" s="43" t="s">
        <v>48</v>
      </c>
      <c r="D91" s="37" t="s">
        <v>49</v>
      </c>
      <c r="E91" s="27">
        <v>98103</v>
      </c>
      <c r="F91" s="43" t="s">
        <v>50</v>
      </c>
      <c r="G91" s="37" t="s">
        <v>21</v>
      </c>
      <c r="H91" s="37" t="s">
        <v>39</v>
      </c>
      <c r="I91" s="31">
        <v>407.97600000000006</v>
      </c>
      <c r="J91" s="27">
        <v>3</v>
      </c>
      <c r="K91" s="34">
        <v>132.59219999999993</v>
      </c>
    </row>
    <row r="92" spans="1:11" x14ac:dyDescent="0.3">
      <c r="A92" s="24">
        <v>15</v>
      </c>
      <c r="B92" s="5">
        <v>42334</v>
      </c>
      <c r="C92" s="43" t="s">
        <v>51</v>
      </c>
      <c r="D92" s="37" t="s">
        <v>52</v>
      </c>
      <c r="E92" s="27">
        <v>76106</v>
      </c>
      <c r="F92" s="43" t="s">
        <v>53</v>
      </c>
      <c r="G92" s="37" t="s">
        <v>21</v>
      </c>
      <c r="H92" s="37" t="s">
        <v>41</v>
      </c>
      <c r="I92" s="31">
        <v>68.809999999999988</v>
      </c>
      <c r="J92" s="27">
        <v>5</v>
      </c>
      <c r="K92" s="34">
        <v>-123.858</v>
      </c>
    </row>
    <row r="93" spans="1:11" x14ac:dyDescent="0.3">
      <c r="A93" s="24">
        <v>16</v>
      </c>
      <c r="B93" s="5">
        <v>42334</v>
      </c>
      <c r="C93" s="43" t="s">
        <v>51</v>
      </c>
      <c r="D93" s="37" t="s">
        <v>52</v>
      </c>
      <c r="E93" s="27">
        <v>76106</v>
      </c>
      <c r="F93" s="43" t="s">
        <v>54</v>
      </c>
      <c r="G93" s="37" t="s">
        <v>21</v>
      </c>
      <c r="H93" s="37" t="s">
        <v>39</v>
      </c>
      <c r="I93" s="31">
        <v>2.5439999999999996</v>
      </c>
      <c r="J93" s="27">
        <v>3</v>
      </c>
      <c r="K93" s="34">
        <v>-3.8160000000000016</v>
      </c>
    </row>
    <row r="94" spans="1:11" x14ac:dyDescent="0.3">
      <c r="A94" s="24">
        <v>17</v>
      </c>
      <c r="B94" s="5">
        <v>41961</v>
      </c>
      <c r="C94" s="43" t="s">
        <v>55</v>
      </c>
      <c r="D94" s="37" t="s">
        <v>56</v>
      </c>
      <c r="E94" s="27">
        <v>53711</v>
      </c>
      <c r="F94" s="43" t="s">
        <v>57</v>
      </c>
      <c r="G94" s="37" t="s">
        <v>21</v>
      </c>
      <c r="H94" s="37" t="s">
        <v>28</v>
      </c>
      <c r="I94" s="31">
        <v>665.88</v>
      </c>
      <c r="J94" s="27">
        <v>6</v>
      </c>
      <c r="K94" s="34">
        <v>13.317599999999999</v>
      </c>
    </row>
    <row r="95" spans="1:11" x14ac:dyDescent="0.3">
      <c r="A95" s="24">
        <v>18</v>
      </c>
      <c r="B95" s="5">
        <v>41774</v>
      </c>
      <c r="C95" s="43" t="s">
        <v>58</v>
      </c>
      <c r="D95" s="37" t="s">
        <v>59</v>
      </c>
      <c r="E95" s="27">
        <v>84084</v>
      </c>
      <c r="F95" s="43" t="s">
        <v>60</v>
      </c>
      <c r="G95" s="37" t="s">
        <v>21</v>
      </c>
      <c r="H95" s="37" t="s">
        <v>28</v>
      </c>
      <c r="I95" s="31">
        <v>55.5</v>
      </c>
      <c r="J95" s="27">
        <v>2</v>
      </c>
      <c r="K95" s="34">
        <v>9.9899999999999949</v>
      </c>
    </row>
    <row r="96" spans="1:11" x14ac:dyDescent="0.3">
      <c r="A96" s="24">
        <v>19</v>
      </c>
      <c r="B96" s="5">
        <v>41883</v>
      </c>
      <c r="C96" s="43" t="s">
        <v>61</v>
      </c>
      <c r="D96" s="37" t="s">
        <v>62</v>
      </c>
      <c r="E96" s="27">
        <v>94109</v>
      </c>
      <c r="F96" s="43" t="s">
        <v>63</v>
      </c>
      <c r="G96" s="37" t="s">
        <v>21</v>
      </c>
      <c r="H96" s="37" t="s">
        <v>34</v>
      </c>
      <c r="I96" s="31">
        <v>8.56</v>
      </c>
      <c r="J96" s="27">
        <v>2</v>
      </c>
      <c r="K96" s="34">
        <v>2.4823999999999993</v>
      </c>
    </row>
    <row r="97" spans="1:11" x14ac:dyDescent="0.3">
      <c r="A97" s="24">
        <v>20</v>
      </c>
      <c r="B97" s="5">
        <v>41883</v>
      </c>
      <c r="C97" s="43" t="s">
        <v>61</v>
      </c>
      <c r="D97" s="37" t="s">
        <v>62</v>
      </c>
      <c r="E97" s="27">
        <v>94109</v>
      </c>
      <c r="F97" s="43" t="s">
        <v>64</v>
      </c>
      <c r="G97" s="37" t="s">
        <v>36</v>
      </c>
      <c r="H97" s="37" t="s">
        <v>37</v>
      </c>
      <c r="I97" s="31">
        <v>213.48000000000002</v>
      </c>
      <c r="J97" s="27">
        <v>3</v>
      </c>
      <c r="K97" s="34">
        <v>16.010999999999981</v>
      </c>
    </row>
    <row r="98" spans="1:11" x14ac:dyDescent="0.3">
      <c r="A98" s="24">
        <v>21</v>
      </c>
      <c r="B98" s="5">
        <v>41883</v>
      </c>
      <c r="C98" s="43" t="s">
        <v>61</v>
      </c>
      <c r="D98" s="37" t="s">
        <v>62</v>
      </c>
      <c r="E98" s="27">
        <v>94109</v>
      </c>
      <c r="F98" s="43" t="s">
        <v>65</v>
      </c>
      <c r="G98" s="37" t="s">
        <v>21</v>
      </c>
      <c r="H98" s="37" t="s">
        <v>39</v>
      </c>
      <c r="I98" s="31">
        <v>22.72</v>
      </c>
      <c r="J98" s="27">
        <v>4</v>
      </c>
      <c r="K98" s="34">
        <v>7.3839999999999986</v>
      </c>
    </row>
    <row r="99" spans="1:11" x14ac:dyDescent="0.3">
      <c r="A99" s="24">
        <v>22</v>
      </c>
      <c r="B99" s="5">
        <v>42717</v>
      </c>
      <c r="C99" s="43" t="s">
        <v>66</v>
      </c>
      <c r="D99" s="37" t="s">
        <v>67</v>
      </c>
      <c r="E99" s="27">
        <v>68025</v>
      </c>
      <c r="F99" s="43" t="s">
        <v>68</v>
      </c>
      <c r="G99" s="37" t="s">
        <v>21</v>
      </c>
      <c r="H99" s="37" t="s">
        <v>34</v>
      </c>
      <c r="I99" s="31">
        <v>19.459999999999997</v>
      </c>
      <c r="J99" s="27">
        <v>7</v>
      </c>
      <c r="K99" s="34">
        <v>5.0595999999999997</v>
      </c>
    </row>
    <row r="100" spans="1:11" ht="15" thickBot="1" x14ac:dyDescent="0.35">
      <c r="A100" s="25">
        <v>23</v>
      </c>
      <c r="B100" s="8">
        <v>42717</v>
      </c>
      <c r="C100" s="44" t="s">
        <v>66</v>
      </c>
      <c r="D100" s="38" t="s">
        <v>67</v>
      </c>
      <c r="E100" s="28">
        <v>68025</v>
      </c>
      <c r="F100" s="44" t="s">
        <v>69</v>
      </c>
      <c r="G100" s="38" t="s">
        <v>21</v>
      </c>
      <c r="H100" s="38" t="s">
        <v>41</v>
      </c>
      <c r="I100" s="32">
        <v>60.339999999999996</v>
      </c>
      <c r="J100" s="28">
        <v>7</v>
      </c>
      <c r="K100" s="35">
        <v>15.688400000000001</v>
      </c>
    </row>
    <row r="101" spans="1:11" ht="26.4" thickBot="1" x14ac:dyDescent="0.55000000000000004">
      <c r="A101" s="29" t="s">
        <v>93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</row>
    <row r="102" spans="1:11" ht="21.6" thickBot="1" x14ac:dyDescent="0.45">
      <c r="A102" s="23" t="s">
        <v>0</v>
      </c>
      <c r="B102" s="45" t="s">
        <v>1</v>
      </c>
      <c r="C102" s="46" t="s">
        <v>2</v>
      </c>
      <c r="D102" s="36" t="s">
        <v>3</v>
      </c>
      <c r="E102" s="26" t="s">
        <v>4</v>
      </c>
      <c r="F102" s="42" t="s">
        <v>5</v>
      </c>
      <c r="G102" s="39" t="s">
        <v>6</v>
      </c>
      <c r="H102" s="36" t="s">
        <v>7</v>
      </c>
      <c r="I102" s="30" t="s">
        <v>8</v>
      </c>
      <c r="J102" s="26" t="s">
        <v>88</v>
      </c>
      <c r="K102" s="33" t="s">
        <v>10</v>
      </c>
    </row>
    <row r="103" spans="1:11" x14ac:dyDescent="0.3">
      <c r="A103" s="24">
        <v>1</v>
      </c>
      <c r="B103" s="5">
        <v>42685</v>
      </c>
      <c r="C103" s="43" t="s">
        <v>11</v>
      </c>
      <c r="D103" s="37" t="s">
        <v>12</v>
      </c>
      <c r="E103" s="27">
        <v>42420</v>
      </c>
      <c r="F103" s="43" t="s">
        <v>13</v>
      </c>
      <c r="G103" s="40" t="s">
        <v>14</v>
      </c>
      <c r="H103" s="37" t="s">
        <v>15</v>
      </c>
      <c r="I103" s="31">
        <v>261.95999999999998</v>
      </c>
      <c r="J103" s="27">
        <v>2</v>
      </c>
      <c r="K103" s="34">
        <v>41.913600000000002</v>
      </c>
    </row>
    <row r="104" spans="1:11" x14ac:dyDescent="0.3">
      <c r="A104" s="24">
        <v>2</v>
      </c>
      <c r="B104" s="5">
        <v>42685</v>
      </c>
      <c r="C104" s="43" t="s">
        <v>11</v>
      </c>
      <c r="D104" s="37" t="s">
        <v>12</v>
      </c>
      <c r="E104" s="27">
        <v>42420</v>
      </c>
      <c r="F104" s="43" t="s">
        <v>16</v>
      </c>
      <c r="G104" s="40" t="s">
        <v>14</v>
      </c>
      <c r="H104" s="37" t="s">
        <v>17</v>
      </c>
      <c r="I104" s="31">
        <v>731.93999999999994</v>
      </c>
      <c r="J104" s="27">
        <v>3</v>
      </c>
      <c r="K104" s="34">
        <v>219.58199999999997</v>
      </c>
    </row>
    <row r="105" spans="1:11" x14ac:dyDescent="0.3">
      <c r="A105" s="24">
        <v>3</v>
      </c>
      <c r="B105" s="5">
        <v>42537</v>
      </c>
      <c r="C105" s="43" t="s">
        <v>18</v>
      </c>
      <c r="D105" s="37" t="s">
        <v>19</v>
      </c>
      <c r="E105" s="27">
        <v>90036</v>
      </c>
      <c r="F105" s="43" t="s">
        <v>20</v>
      </c>
      <c r="G105" s="40" t="s">
        <v>21</v>
      </c>
      <c r="H105" s="37" t="s">
        <v>22</v>
      </c>
      <c r="I105" s="31">
        <v>14.62</v>
      </c>
      <c r="J105" s="27">
        <v>2</v>
      </c>
      <c r="K105" s="34">
        <v>6.8713999999999995</v>
      </c>
    </row>
    <row r="106" spans="1:11" x14ac:dyDescent="0.3">
      <c r="A106" s="24">
        <v>4</v>
      </c>
      <c r="B106" s="5">
        <v>42295</v>
      </c>
      <c r="C106" s="43" t="s">
        <v>23</v>
      </c>
      <c r="D106" s="37" t="s">
        <v>24</v>
      </c>
      <c r="E106" s="27">
        <v>33311</v>
      </c>
      <c r="F106" s="43" t="s">
        <v>25</v>
      </c>
      <c r="G106" s="40" t="s">
        <v>14</v>
      </c>
      <c r="H106" s="37" t="s">
        <v>26</v>
      </c>
      <c r="I106" s="31">
        <v>957.57749999999999</v>
      </c>
      <c r="J106" s="27">
        <v>5</v>
      </c>
      <c r="K106" s="34">
        <v>-383.03100000000006</v>
      </c>
    </row>
    <row r="107" spans="1:11" x14ac:dyDescent="0.3">
      <c r="A107" s="24">
        <v>5</v>
      </c>
      <c r="B107" s="5">
        <v>42295</v>
      </c>
      <c r="C107" s="43" t="s">
        <v>23</v>
      </c>
      <c r="D107" s="37" t="s">
        <v>24</v>
      </c>
      <c r="E107" s="27">
        <v>33311</v>
      </c>
      <c r="F107" s="43" t="s">
        <v>27</v>
      </c>
      <c r="G107" s="40" t="s">
        <v>21</v>
      </c>
      <c r="H107" s="37" t="s">
        <v>28</v>
      </c>
      <c r="I107" s="31">
        <v>22.368000000000002</v>
      </c>
      <c r="J107" s="27">
        <v>2</v>
      </c>
      <c r="K107" s="34">
        <v>2.5163999999999991</v>
      </c>
    </row>
    <row r="108" spans="1:11" x14ac:dyDescent="0.3">
      <c r="A108" s="24">
        <v>6</v>
      </c>
      <c r="B108" s="5">
        <v>41804</v>
      </c>
      <c r="C108" s="43" t="s">
        <v>29</v>
      </c>
      <c r="D108" s="37" t="s">
        <v>30</v>
      </c>
      <c r="E108" s="27">
        <v>90032</v>
      </c>
      <c r="F108" s="43" t="s">
        <v>31</v>
      </c>
      <c r="G108" s="40" t="s">
        <v>14</v>
      </c>
      <c r="H108" s="37" t="s">
        <v>32</v>
      </c>
      <c r="I108" s="31">
        <v>48.86</v>
      </c>
      <c r="J108" s="27">
        <v>7</v>
      </c>
      <c r="K108" s="34">
        <v>14.169399999999996</v>
      </c>
    </row>
    <row r="109" spans="1:11" x14ac:dyDescent="0.3">
      <c r="A109" s="24">
        <v>7</v>
      </c>
      <c r="B109" s="5">
        <v>41804</v>
      </c>
      <c r="C109" s="43" t="s">
        <v>29</v>
      </c>
      <c r="D109" s="37" t="s">
        <v>30</v>
      </c>
      <c r="E109" s="27">
        <v>90032</v>
      </c>
      <c r="F109" s="43" t="s">
        <v>33</v>
      </c>
      <c r="G109" s="40" t="s">
        <v>21</v>
      </c>
      <c r="H109" s="37" t="s">
        <v>34</v>
      </c>
      <c r="I109" s="31">
        <v>7.28</v>
      </c>
      <c r="J109" s="27">
        <v>4</v>
      </c>
      <c r="K109" s="34">
        <v>1.9656000000000002</v>
      </c>
    </row>
    <row r="110" spans="1:11" x14ac:dyDescent="0.3">
      <c r="A110" s="24">
        <v>8</v>
      </c>
      <c r="B110" s="5">
        <v>41804</v>
      </c>
      <c r="C110" s="43" t="s">
        <v>29</v>
      </c>
      <c r="D110" s="37" t="s">
        <v>30</v>
      </c>
      <c r="E110" s="27">
        <v>90032</v>
      </c>
      <c r="F110" s="43" t="s">
        <v>35</v>
      </c>
      <c r="G110" s="40" t="s">
        <v>36</v>
      </c>
      <c r="H110" s="37" t="s">
        <v>37</v>
      </c>
      <c r="I110" s="31">
        <v>907.15200000000004</v>
      </c>
      <c r="J110" s="27">
        <v>6</v>
      </c>
      <c r="K110" s="34">
        <v>90.715200000000038</v>
      </c>
    </row>
    <row r="111" spans="1:11" x14ac:dyDescent="0.3">
      <c r="A111" s="24">
        <v>9</v>
      </c>
      <c r="B111" s="5">
        <v>41804</v>
      </c>
      <c r="C111" s="43" t="s">
        <v>29</v>
      </c>
      <c r="D111" s="37" t="s">
        <v>30</v>
      </c>
      <c r="E111" s="27">
        <v>90032</v>
      </c>
      <c r="F111" s="43" t="s">
        <v>38</v>
      </c>
      <c r="G111" s="40" t="s">
        <v>21</v>
      </c>
      <c r="H111" s="37" t="s">
        <v>39</v>
      </c>
      <c r="I111" s="31">
        <v>18.504000000000001</v>
      </c>
      <c r="J111" s="27">
        <v>3</v>
      </c>
      <c r="K111" s="34">
        <v>5.7824999999999998</v>
      </c>
    </row>
    <row r="112" spans="1:11" x14ac:dyDescent="0.3">
      <c r="A112" s="24">
        <v>10</v>
      </c>
      <c r="B112" s="5">
        <v>41804</v>
      </c>
      <c r="C112" s="43" t="s">
        <v>29</v>
      </c>
      <c r="D112" s="37" t="s">
        <v>30</v>
      </c>
      <c r="E112" s="27">
        <v>90032</v>
      </c>
      <c r="F112" s="43" t="s">
        <v>40</v>
      </c>
      <c r="G112" s="40" t="s">
        <v>21</v>
      </c>
      <c r="H112" s="37" t="s">
        <v>41</v>
      </c>
      <c r="I112" s="31">
        <v>114.9</v>
      </c>
      <c r="J112" s="27">
        <v>5</v>
      </c>
      <c r="K112" s="34">
        <v>34.469999999999992</v>
      </c>
    </row>
    <row r="113" spans="1:11" x14ac:dyDescent="0.3">
      <c r="A113" s="24">
        <v>11</v>
      </c>
      <c r="B113" s="5">
        <v>41804</v>
      </c>
      <c r="C113" s="43" t="s">
        <v>29</v>
      </c>
      <c r="D113" s="37" t="s">
        <v>30</v>
      </c>
      <c r="E113" s="27">
        <v>90032</v>
      </c>
      <c r="F113" s="43" t="s">
        <v>42</v>
      </c>
      <c r="G113" s="40" t="s">
        <v>14</v>
      </c>
      <c r="H113" s="37" t="s">
        <v>26</v>
      </c>
      <c r="I113" s="31">
        <v>1706.1840000000002</v>
      </c>
      <c r="J113" s="27">
        <v>9</v>
      </c>
      <c r="K113" s="34">
        <v>85.309199999999805</v>
      </c>
    </row>
    <row r="114" spans="1:11" x14ac:dyDescent="0.3">
      <c r="A114" s="24">
        <v>12</v>
      </c>
      <c r="B114" s="5">
        <v>41804</v>
      </c>
      <c r="C114" s="43" t="s">
        <v>29</v>
      </c>
      <c r="D114" s="37" t="s">
        <v>30</v>
      </c>
      <c r="E114" s="27">
        <v>90032</v>
      </c>
      <c r="F114" s="43" t="s">
        <v>43</v>
      </c>
      <c r="G114" s="40" t="s">
        <v>36</v>
      </c>
      <c r="H114" s="37" t="s">
        <v>37</v>
      </c>
      <c r="I114" s="31">
        <v>911.42399999999998</v>
      </c>
      <c r="J114" s="27">
        <v>4</v>
      </c>
      <c r="K114" s="34">
        <v>68.356800000000021</v>
      </c>
    </row>
    <row r="115" spans="1:11" x14ac:dyDescent="0.3">
      <c r="A115" s="24">
        <v>13</v>
      </c>
      <c r="B115" s="5">
        <v>42845</v>
      </c>
      <c r="C115" s="43" t="s">
        <v>44</v>
      </c>
      <c r="D115" s="37" t="s">
        <v>45</v>
      </c>
      <c r="E115" s="27">
        <v>28027</v>
      </c>
      <c r="F115" s="43" t="s">
        <v>46</v>
      </c>
      <c r="G115" s="40" t="s">
        <v>21</v>
      </c>
      <c r="H115" s="37" t="s">
        <v>47</v>
      </c>
      <c r="I115" s="31">
        <v>15.552000000000003</v>
      </c>
      <c r="J115" s="27">
        <v>3</v>
      </c>
      <c r="K115" s="34">
        <v>5.4432</v>
      </c>
    </row>
    <row r="116" spans="1:11" x14ac:dyDescent="0.3">
      <c r="A116" s="24">
        <v>14</v>
      </c>
      <c r="B116" s="5">
        <v>42714</v>
      </c>
      <c r="C116" s="43" t="s">
        <v>48</v>
      </c>
      <c r="D116" s="37" t="s">
        <v>49</v>
      </c>
      <c r="E116" s="27">
        <v>98103</v>
      </c>
      <c r="F116" s="43" t="s">
        <v>50</v>
      </c>
      <c r="G116" s="40" t="s">
        <v>21</v>
      </c>
      <c r="H116" s="37" t="s">
        <v>39</v>
      </c>
      <c r="I116" s="31">
        <v>407.97600000000006</v>
      </c>
      <c r="J116" s="27">
        <v>3</v>
      </c>
      <c r="K116" s="34">
        <v>132.59219999999993</v>
      </c>
    </row>
    <row r="117" spans="1:11" x14ac:dyDescent="0.3">
      <c r="A117" s="24">
        <v>15</v>
      </c>
      <c r="B117" s="5">
        <v>42334</v>
      </c>
      <c r="C117" s="43" t="s">
        <v>51</v>
      </c>
      <c r="D117" s="37" t="s">
        <v>52</v>
      </c>
      <c r="E117" s="27">
        <v>76106</v>
      </c>
      <c r="F117" s="43" t="s">
        <v>53</v>
      </c>
      <c r="G117" s="40" t="s">
        <v>21</v>
      </c>
      <c r="H117" s="37" t="s">
        <v>41</v>
      </c>
      <c r="I117" s="31">
        <v>68.809999999999988</v>
      </c>
      <c r="J117" s="27">
        <v>5</v>
      </c>
      <c r="K117" s="34">
        <v>-123.858</v>
      </c>
    </row>
    <row r="118" spans="1:11" x14ac:dyDescent="0.3">
      <c r="A118" s="24">
        <v>16</v>
      </c>
      <c r="B118" s="5">
        <v>42334</v>
      </c>
      <c r="C118" s="43" t="s">
        <v>51</v>
      </c>
      <c r="D118" s="37" t="s">
        <v>52</v>
      </c>
      <c r="E118" s="27">
        <v>76106</v>
      </c>
      <c r="F118" s="43" t="s">
        <v>54</v>
      </c>
      <c r="G118" s="40" t="s">
        <v>21</v>
      </c>
      <c r="H118" s="37" t="s">
        <v>39</v>
      </c>
      <c r="I118" s="31">
        <v>2.5439999999999996</v>
      </c>
      <c r="J118" s="27">
        <v>3</v>
      </c>
      <c r="K118" s="34">
        <v>-3.8160000000000016</v>
      </c>
    </row>
    <row r="119" spans="1:11" x14ac:dyDescent="0.3">
      <c r="A119" s="24">
        <v>17</v>
      </c>
      <c r="B119" s="5">
        <v>41961</v>
      </c>
      <c r="C119" s="43" t="s">
        <v>55</v>
      </c>
      <c r="D119" s="37" t="s">
        <v>56</v>
      </c>
      <c r="E119" s="27">
        <v>53711</v>
      </c>
      <c r="F119" s="43" t="s">
        <v>57</v>
      </c>
      <c r="G119" s="40" t="s">
        <v>21</v>
      </c>
      <c r="H119" s="37" t="s">
        <v>28</v>
      </c>
      <c r="I119" s="31">
        <v>665.88</v>
      </c>
      <c r="J119" s="27">
        <v>6</v>
      </c>
      <c r="K119" s="34">
        <v>13.317599999999999</v>
      </c>
    </row>
    <row r="120" spans="1:11" x14ac:dyDescent="0.3">
      <c r="A120" s="24">
        <v>18</v>
      </c>
      <c r="B120" s="5">
        <v>41774</v>
      </c>
      <c r="C120" s="43" t="s">
        <v>58</v>
      </c>
      <c r="D120" s="37" t="s">
        <v>59</v>
      </c>
      <c r="E120" s="27">
        <v>84084</v>
      </c>
      <c r="F120" s="43" t="s">
        <v>60</v>
      </c>
      <c r="G120" s="40" t="s">
        <v>21</v>
      </c>
      <c r="H120" s="37" t="s">
        <v>28</v>
      </c>
      <c r="I120" s="31">
        <v>55.5</v>
      </c>
      <c r="J120" s="27">
        <v>2</v>
      </c>
      <c r="K120" s="34">
        <v>9.9899999999999949</v>
      </c>
    </row>
    <row r="121" spans="1:11" x14ac:dyDescent="0.3">
      <c r="A121" s="24">
        <v>19</v>
      </c>
      <c r="B121" s="5">
        <v>41883</v>
      </c>
      <c r="C121" s="43" t="s">
        <v>61</v>
      </c>
      <c r="D121" s="37" t="s">
        <v>62</v>
      </c>
      <c r="E121" s="27">
        <v>94109</v>
      </c>
      <c r="F121" s="43" t="s">
        <v>63</v>
      </c>
      <c r="G121" s="40" t="s">
        <v>21</v>
      </c>
      <c r="H121" s="37" t="s">
        <v>34</v>
      </c>
      <c r="I121" s="31">
        <v>8.56</v>
      </c>
      <c r="J121" s="27">
        <v>2</v>
      </c>
      <c r="K121" s="34">
        <v>2.4823999999999993</v>
      </c>
    </row>
    <row r="122" spans="1:11" x14ac:dyDescent="0.3">
      <c r="A122" s="24">
        <v>20</v>
      </c>
      <c r="B122" s="5">
        <v>41883</v>
      </c>
      <c r="C122" s="43" t="s">
        <v>61</v>
      </c>
      <c r="D122" s="37" t="s">
        <v>62</v>
      </c>
      <c r="E122" s="27">
        <v>94109</v>
      </c>
      <c r="F122" s="43" t="s">
        <v>64</v>
      </c>
      <c r="G122" s="40" t="s">
        <v>36</v>
      </c>
      <c r="H122" s="37" t="s">
        <v>37</v>
      </c>
      <c r="I122" s="31">
        <v>213.48000000000002</v>
      </c>
      <c r="J122" s="27">
        <v>3</v>
      </c>
      <c r="K122" s="34">
        <v>16.010999999999981</v>
      </c>
    </row>
    <row r="123" spans="1:11" x14ac:dyDescent="0.3">
      <c r="A123" s="24">
        <v>21</v>
      </c>
      <c r="B123" s="5">
        <v>41883</v>
      </c>
      <c r="C123" s="43" t="s">
        <v>61</v>
      </c>
      <c r="D123" s="37" t="s">
        <v>62</v>
      </c>
      <c r="E123" s="27">
        <v>94109</v>
      </c>
      <c r="F123" s="43" t="s">
        <v>65</v>
      </c>
      <c r="G123" s="40" t="s">
        <v>21</v>
      </c>
      <c r="H123" s="37" t="s">
        <v>39</v>
      </c>
      <c r="I123" s="31">
        <v>22.72</v>
      </c>
      <c r="J123" s="27">
        <v>4</v>
      </c>
      <c r="K123" s="34">
        <v>7.3839999999999986</v>
      </c>
    </row>
    <row r="124" spans="1:11" x14ac:dyDescent="0.3">
      <c r="A124" s="24">
        <v>22</v>
      </c>
      <c r="B124" s="5">
        <v>42717</v>
      </c>
      <c r="C124" s="43" t="s">
        <v>66</v>
      </c>
      <c r="D124" s="37" t="s">
        <v>67</v>
      </c>
      <c r="E124" s="27">
        <v>68025</v>
      </c>
      <c r="F124" s="43" t="s">
        <v>68</v>
      </c>
      <c r="G124" s="40" t="s">
        <v>21</v>
      </c>
      <c r="H124" s="37" t="s">
        <v>34</v>
      </c>
      <c r="I124" s="31">
        <v>19.459999999999997</v>
      </c>
      <c r="J124" s="27">
        <v>7</v>
      </c>
      <c r="K124" s="34">
        <v>5.0595999999999997</v>
      </c>
    </row>
    <row r="125" spans="1:11" ht="15" thickBot="1" x14ac:dyDescent="0.35">
      <c r="A125" s="25">
        <v>23</v>
      </c>
      <c r="B125" s="8">
        <v>42717</v>
      </c>
      <c r="C125" s="44" t="s">
        <v>66</v>
      </c>
      <c r="D125" s="38" t="s">
        <v>67</v>
      </c>
      <c r="E125" s="28">
        <v>68025</v>
      </c>
      <c r="F125" s="44" t="s">
        <v>69</v>
      </c>
      <c r="G125" s="41" t="s">
        <v>21</v>
      </c>
      <c r="H125" s="38" t="s">
        <v>41</v>
      </c>
      <c r="I125" s="32">
        <v>60.339999999999996</v>
      </c>
      <c r="J125" s="28">
        <v>7</v>
      </c>
      <c r="K125" s="35">
        <v>15.688400000000001</v>
      </c>
    </row>
    <row r="126" spans="1:11" ht="26.4" thickBot="1" x14ac:dyDescent="0.55000000000000004">
      <c r="A126" s="47" t="s">
        <v>94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</row>
    <row r="127" spans="1:11" ht="21.6" thickBot="1" x14ac:dyDescent="0.45">
      <c r="A127" s="23" t="s">
        <v>0</v>
      </c>
      <c r="B127" s="45" t="s">
        <v>1</v>
      </c>
      <c r="C127" s="46" t="s">
        <v>2</v>
      </c>
      <c r="D127" s="36" t="s">
        <v>3</v>
      </c>
      <c r="E127" s="26" t="s">
        <v>4</v>
      </c>
      <c r="F127" s="42" t="s">
        <v>5</v>
      </c>
      <c r="G127" s="39" t="s">
        <v>6</v>
      </c>
      <c r="H127" s="36" t="s">
        <v>7</v>
      </c>
      <c r="I127" s="30" t="s">
        <v>8</v>
      </c>
      <c r="J127" s="26" t="s">
        <v>88</v>
      </c>
      <c r="K127" s="33" t="s">
        <v>10</v>
      </c>
    </row>
    <row r="128" spans="1:11" x14ac:dyDescent="0.3">
      <c r="A128" s="24">
        <v>1</v>
      </c>
      <c r="B128" s="5">
        <v>42685</v>
      </c>
      <c r="C128" s="43" t="s">
        <v>11</v>
      </c>
      <c r="D128" s="37" t="s">
        <v>12</v>
      </c>
      <c r="E128" s="27">
        <v>42420</v>
      </c>
      <c r="F128" s="43" t="s">
        <v>13</v>
      </c>
      <c r="G128" s="40" t="s">
        <v>14</v>
      </c>
      <c r="H128" s="37" t="s">
        <v>15</v>
      </c>
      <c r="I128" s="31">
        <v>261.95999999999998</v>
      </c>
      <c r="J128" s="27">
        <v>2</v>
      </c>
      <c r="K128" s="34">
        <v>41.913600000000002</v>
      </c>
    </row>
    <row r="129" spans="1:11" x14ac:dyDescent="0.3">
      <c r="A129" s="24">
        <v>2</v>
      </c>
      <c r="B129" s="5">
        <v>42685</v>
      </c>
      <c r="C129" s="43" t="s">
        <v>11</v>
      </c>
      <c r="D129" s="37" t="s">
        <v>12</v>
      </c>
      <c r="E129" s="27">
        <v>42420</v>
      </c>
      <c r="F129" s="43" t="s">
        <v>16</v>
      </c>
      <c r="G129" s="40" t="s">
        <v>14</v>
      </c>
      <c r="H129" s="37" t="s">
        <v>17</v>
      </c>
      <c r="I129" s="31">
        <v>731.93999999999994</v>
      </c>
      <c r="J129" s="27">
        <v>3</v>
      </c>
      <c r="K129" s="34">
        <v>219.58199999999997</v>
      </c>
    </row>
    <row r="130" spans="1:11" x14ac:dyDescent="0.3">
      <c r="A130" s="24">
        <v>3</v>
      </c>
      <c r="B130" s="5">
        <v>42537</v>
      </c>
      <c r="C130" s="43" t="s">
        <v>18</v>
      </c>
      <c r="D130" s="37" t="s">
        <v>19</v>
      </c>
      <c r="E130" s="27">
        <v>90036</v>
      </c>
      <c r="F130" s="43" t="s">
        <v>20</v>
      </c>
      <c r="G130" s="40" t="s">
        <v>21</v>
      </c>
      <c r="H130" s="37" t="s">
        <v>22</v>
      </c>
      <c r="I130" s="31">
        <v>14.62</v>
      </c>
      <c r="J130" s="27">
        <v>2</v>
      </c>
      <c r="K130" s="34">
        <v>6.8713999999999995</v>
      </c>
    </row>
    <row r="131" spans="1:11" x14ac:dyDescent="0.3">
      <c r="A131" s="24">
        <v>4</v>
      </c>
      <c r="B131" s="5">
        <v>42295</v>
      </c>
      <c r="C131" s="43" t="s">
        <v>23</v>
      </c>
      <c r="D131" s="37" t="s">
        <v>24</v>
      </c>
      <c r="E131" s="27">
        <v>33311</v>
      </c>
      <c r="F131" s="43" t="s">
        <v>25</v>
      </c>
      <c r="G131" s="40" t="s">
        <v>14</v>
      </c>
      <c r="H131" s="37" t="s">
        <v>26</v>
      </c>
      <c r="I131" s="31">
        <v>957.57749999999999</v>
      </c>
      <c r="J131" s="27">
        <v>5</v>
      </c>
      <c r="K131" s="34">
        <v>-383.03100000000006</v>
      </c>
    </row>
    <row r="132" spans="1:11" x14ac:dyDescent="0.3">
      <c r="A132" s="24">
        <v>5</v>
      </c>
      <c r="B132" s="5">
        <v>42295</v>
      </c>
      <c r="C132" s="43" t="s">
        <v>23</v>
      </c>
      <c r="D132" s="37" t="s">
        <v>24</v>
      </c>
      <c r="E132" s="27">
        <v>33311</v>
      </c>
      <c r="F132" s="43" t="s">
        <v>27</v>
      </c>
      <c r="G132" s="40" t="s">
        <v>21</v>
      </c>
      <c r="H132" s="37" t="s">
        <v>28</v>
      </c>
      <c r="I132" s="31">
        <v>22.368000000000002</v>
      </c>
      <c r="J132" s="27">
        <v>2</v>
      </c>
      <c r="K132" s="34">
        <v>2.5163999999999991</v>
      </c>
    </row>
    <row r="133" spans="1:11" x14ac:dyDescent="0.3">
      <c r="A133" s="24">
        <v>6</v>
      </c>
      <c r="B133" s="5">
        <v>41804</v>
      </c>
      <c r="C133" s="43" t="s">
        <v>29</v>
      </c>
      <c r="D133" s="37" t="s">
        <v>30</v>
      </c>
      <c r="E133" s="27">
        <v>90032</v>
      </c>
      <c r="F133" s="43" t="s">
        <v>31</v>
      </c>
      <c r="G133" s="40" t="s">
        <v>14</v>
      </c>
      <c r="H133" s="37" t="s">
        <v>32</v>
      </c>
      <c r="I133" s="31">
        <v>48.86</v>
      </c>
      <c r="J133" s="27">
        <v>7</v>
      </c>
      <c r="K133" s="34">
        <v>14.169399999999996</v>
      </c>
    </row>
    <row r="134" spans="1:11" x14ac:dyDescent="0.3">
      <c r="A134" s="24">
        <v>7</v>
      </c>
      <c r="B134" s="5">
        <v>41804</v>
      </c>
      <c r="C134" s="43" t="s">
        <v>29</v>
      </c>
      <c r="D134" s="37" t="s">
        <v>30</v>
      </c>
      <c r="E134" s="27">
        <v>90032</v>
      </c>
      <c r="F134" s="43" t="s">
        <v>33</v>
      </c>
      <c r="G134" s="40" t="s">
        <v>21</v>
      </c>
      <c r="H134" s="37" t="s">
        <v>34</v>
      </c>
      <c r="I134" s="31">
        <v>7.28</v>
      </c>
      <c r="J134" s="27">
        <v>4</v>
      </c>
      <c r="K134" s="34">
        <v>1.9656000000000002</v>
      </c>
    </row>
    <row r="135" spans="1:11" x14ac:dyDescent="0.3">
      <c r="A135" s="24">
        <v>8</v>
      </c>
      <c r="B135" s="5">
        <v>41804</v>
      </c>
      <c r="C135" s="43" t="s">
        <v>29</v>
      </c>
      <c r="D135" s="37" t="s">
        <v>30</v>
      </c>
      <c r="E135" s="27">
        <v>90032</v>
      </c>
      <c r="F135" s="43" t="s">
        <v>35</v>
      </c>
      <c r="G135" s="40" t="s">
        <v>36</v>
      </c>
      <c r="H135" s="37" t="s">
        <v>37</v>
      </c>
      <c r="I135" s="31">
        <v>907.15200000000004</v>
      </c>
      <c r="J135" s="27">
        <v>6</v>
      </c>
      <c r="K135" s="34">
        <v>90.715200000000038</v>
      </c>
    </row>
    <row r="136" spans="1:11" x14ac:dyDescent="0.3">
      <c r="A136" s="24">
        <v>9</v>
      </c>
      <c r="B136" s="5">
        <v>41804</v>
      </c>
      <c r="C136" s="43" t="s">
        <v>29</v>
      </c>
      <c r="D136" s="37" t="s">
        <v>30</v>
      </c>
      <c r="E136" s="27">
        <v>90032</v>
      </c>
      <c r="F136" s="43" t="s">
        <v>38</v>
      </c>
      <c r="G136" s="40" t="s">
        <v>21</v>
      </c>
      <c r="H136" s="37" t="s">
        <v>39</v>
      </c>
      <c r="I136" s="31">
        <v>18.504000000000001</v>
      </c>
      <c r="J136" s="27">
        <v>3</v>
      </c>
      <c r="K136" s="34">
        <v>5.7824999999999998</v>
      </c>
    </row>
    <row r="137" spans="1:11" x14ac:dyDescent="0.3">
      <c r="A137" s="24">
        <v>10</v>
      </c>
      <c r="B137" s="5">
        <v>41804</v>
      </c>
      <c r="C137" s="43" t="s">
        <v>29</v>
      </c>
      <c r="D137" s="37" t="s">
        <v>30</v>
      </c>
      <c r="E137" s="27">
        <v>90032</v>
      </c>
      <c r="F137" s="43" t="s">
        <v>40</v>
      </c>
      <c r="G137" s="40" t="s">
        <v>21</v>
      </c>
      <c r="H137" s="37" t="s">
        <v>41</v>
      </c>
      <c r="I137" s="31">
        <v>114.9</v>
      </c>
      <c r="J137" s="27">
        <v>5</v>
      </c>
      <c r="K137" s="34">
        <v>34.469999999999992</v>
      </c>
    </row>
    <row r="138" spans="1:11" x14ac:dyDescent="0.3">
      <c r="A138" s="24">
        <v>11</v>
      </c>
      <c r="B138" s="5">
        <v>41804</v>
      </c>
      <c r="C138" s="43" t="s">
        <v>29</v>
      </c>
      <c r="D138" s="37" t="s">
        <v>30</v>
      </c>
      <c r="E138" s="27">
        <v>90032</v>
      </c>
      <c r="F138" s="43" t="s">
        <v>42</v>
      </c>
      <c r="G138" s="40" t="s">
        <v>14</v>
      </c>
      <c r="H138" s="37" t="s">
        <v>26</v>
      </c>
      <c r="I138" s="31">
        <v>1706.1840000000002</v>
      </c>
      <c r="J138" s="27">
        <v>9</v>
      </c>
      <c r="K138" s="34">
        <v>85.309199999999805</v>
      </c>
    </row>
    <row r="139" spans="1:11" x14ac:dyDescent="0.3">
      <c r="A139" s="24">
        <v>12</v>
      </c>
      <c r="B139" s="5">
        <v>41804</v>
      </c>
      <c r="C139" s="43" t="s">
        <v>29</v>
      </c>
      <c r="D139" s="37" t="s">
        <v>30</v>
      </c>
      <c r="E139" s="27">
        <v>90032</v>
      </c>
      <c r="F139" s="43" t="s">
        <v>43</v>
      </c>
      <c r="G139" s="40" t="s">
        <v>36</v>
      </c>
      <c r="H139" s="37" t="s">
        <v>37</v>
      </c>
      <c r="I139" s="31">
        <v>911.42399999999998</v>
      </c>
      <c r="J139" s="27">
        <v>4</v>
      </c>
      <c r="K139" s="34">
        <v>68.356800000000021</v>
      </c>
    </row>
    <row r="140" spans="1:11" x14ac:dyDescent="0.3">
      <c r="A140" s="24">
        <v>13</v>
      </c>
      <c r="B140" s="5">
        <v>42845</v>
      </c>
      <c r="C140" s="43" t="s">
        <v>44</v>
      </c>
      <c r="D140" s="37" t="s">
        <v>45</v>
      </c>
      <c r="E140" s="27">
        <v>28027</v>
      </c>
      <c r="F140" s="43" t="s">
        <v>46</v>
      </c>
      <c r="G140" s="40" t="s">
        <v>21</v>
      </c>
      <c r="H140" s="37" t="s">
        <v>47</v>
      </c>
      <c r="I140" s="31">
        <v>15.552000000000003</v>
      </c>
      <c r="J140" s="27">
        <v>3</v>
      </c>
      <c r="K140" s="34">
        <v>5.4432</v>
      </c>
    </row>
    <row r="141" spans="1:11" x14ac:dyDescent="0.3">
      <c r="A141" s="24">
        <v>14</v>
      </c>
      <c r="B141" s="5">
        <v>42714</v>
      </c>
      <c r="C141" s="43" t="s">
        <v>48</v>
      </c>
      <c r="D141" s="37" t="s">
        <v>49</v>
      </c>
      <c r="E141" s="27">
        <v>98103</v>
      </c>
      <c r="F141" s="43" t="s">
        <v>50</v>
      </c>
      <c r="G141" s="40" t="s">
        <v>21</v>
      </c>
      <c r="H141" s="37" t="s">
        <v>39</v>
      </c>
      <c r="I141" s="31">
        <v>407.97600000000006</v>
      </c>
      <c r="J141" s="27">
        <v>3</v>
      </c>
      <c r="K141" s="34">
        <v>132.59219999999993</v>
      </c>
    </row>
    <row r="142" spans="1:11" x14ac:dyDescent="0.3">
      <c r="A142" s="24">
        <v>15</v>
      </c>
      <c r="B142" s="5">
        <v>42334</v>
      </c>
      <c r="C142" s="43" t="s">
        <v>51</v>
      </c>
      <c r="D142" s="37" t="s">
        <v>52</v>
      </c>
      <c r="E142" s="27">
        <v>76106</v>
      </c>
      <c r="F142" s="43" t="s">
        <v>53</v>
      </c>
      <c r="G142" s="40" t="s">
        <v>21</v>
      </c>
      <c r="H142" s="37" t="s">
        <v>41</v>
      </c>
      <c r="I142" s="31">
        <v>68.809999999999988</v>
      </c>
      <c r="J142" s="27">
        <v>5</v>
      </c>
      <c r="K142" s="34">
        <v>-123.858</v>
      </c>
    </row>
    <row r="143" spans="1:11" x14ac:dyDescent="0.3">
      <c r="A143" s="24">
        <v>16</v>
      </c>
      <c r="B143" s="5">
        <v>42334</v>
      </c>
      <c r="C143" s="43" t="s">
        <v>51</v>
      </c>
      <c r="D143" s="37" t="s">
        <v>52</v>
      </c>
      <c r="E143" s="27">
        <v>76106</v>
      </c>
      <c r="F143" s="43" t="s">
        <v>54</v>
      </c>
      <c r="G143" s="40" t="s">
        <v>21</v>
      </c>
      <c r="H143" s="37" t="s">
        <v>39</v>
      </c>
      <c r="I143" s="31">
        <v>2.5439999999999996</v>
      </c>
      <c r="J143" s="27">
        <v>3</v>
      </c>
      <c r="K143" s="34">
        <v>-3.8160000000000016</v>
      </c>
    </row>
    <row r="144" spans="1:11" x14ac:dyDescent="0.3">
      <c r="A144" s="24">
        <v>17</v>
      </c>
      <c r="B144" s="5">
        <v>41961</v>
      </c>
      <c r="C144" s="43" t="s">
        <v>55</v>
      </c>
      <c r="D144" s="37" t="s">
        <v>56</v>
      </c>
      <c r="E144" s="27">
        <v>53711</v>
      </c>
      <c r="F144" s="43" t="s">
        <v>57</v>
      </c>
      <c r="G144" s="40" t="s">
        <v>21</v>
      </c>
      <c r="H144" s="37" t="s">
        <v>28</v>
      </c>
      <c r="I144" s="31">
        <v>665.88</v>
      </c>
      <c r="J144" s="27">
        <v>6</v>
      </c>
      <c r="K144" s="34">
        <v>13.317599999999999</v>
      </c>
    </row>
    <row r="145" spans="1:11" x14ac:dyDescent="0.3">
      <c r="A145" s="24">
        <v>18</v>
      </c>
      <c r="B145" s="5">
        <v>41774</v>
      </c>
      <c r="C145" s="43" t="s">
        <v>58</v>
      </c>
      <c r="D145" s="37" t="s">
        <v>59</v>
      </c>
      <c r="E145" s="27">
        <v>84084</v>
      </c>
      <c r="F145" s="43" t="s">
        <v>60</v>
      </c>
      <c r="G145" s="40" t="s">
        <v>21</v>
      </c>
      <c r="H145" s="37" t="s">
        <v>28</v>
      </c>
      <c r="I145" s="31">
        <v>55.5</v>
      </c>
      <c r="J145" s="27">
        <v>2</v>
      </c>
      <c r="K145" s="34">
        <v>9.9899999999999949</v>
      </c>
    </row>
    <row r="146" spans="1:11" x14ac:dyDescent="0.3">
      <c r="A146" s="24">
        <v>19</v>
      </c>
      <c r="B146" s="5">
        <v>41883</v>
      </c>
      <c r="C146" s="43" t="s">
        <v>61</v>
      </c>
      <c r="D146" s="37" t="s">
        <v>62</v>
      </c>
      <c r="E146" s="27">
        <v>94109</v>
      </c>
      <c r="F146" s="43" t="s">
        <v>63</v>
      </c>
      <c r="G146" s="40" t="s">
        <v>21</v>
      </c>
      <c r="H146" s="37" t="s">
        <v>34</v>
      </c>
      <c r="I146" s="31">
        <v>8.56</v>
      </c>
      <c r="J146" s="27">
        <v>2</v>
      </c>
      <c r="K146" s="34">
        <v>2.4823999999999993</v>
      </c>
    </row>
    <row r="147" spans="1:11" x14ac:dyDescent="0.3">
      <c r="A147" s="24">
        <v>20</v>
      </c>
      <c r="B147" s="5">
        <v>41883</v>
      </c>
      <c r="C147" s="43" t="s">
        <v>61</v>
      </c>
      <c r="D147" s="37" t="s">
        <v>62</v>
      </c>
      <c r="E147" s="27">
        <v>94109</v>
      </c>
      <c r="F147" s="43" t="s">
        <v>64</v>
      </c>
      <c r="G147" s="40" t="s">
        <v>36</v>
      </c>
      <c r="H147" s="37" t="s">
        <v>37</v>
      </c>
      <c r="I147" s="31">
        <v>213.48000000000002</v>
      </c>
      <c r="J147" s="27">
        <v>3</v>
      </c>
      <c r="K147" s="34">
        <v>16.010999999999981</v>
      </c>
    </row>
    <row r="148" spans="1:11" x14ac:dyDescent="0.3">
      <c r="A148" s="24">
        <v>21</v>
      </c>
      <c r="B148" s="5">
        <v>41883</v>
      </c>
      <c r="C148" s="43" t="s">
        <v>61</v>
      </c>
      <c r="D148" s="37" t="s">
        <v>62</v>
      </c>
      <c r="E148" s="27">
        <v>94109</v>
      </c>
      <c r="F148" s="43" t="s">
        <v>65</v>
      </c>
      <c r="G148" s="40" t="s">
        <v>21</v>
      </c>
      <c r="H148" s="37" t="s">
        <v>39</v>
      </c>
      <c r="I148" s="31">
        <v>22.72</v>
      </c>
      <c r="J148" s="27">
        <v>4</v>
      </c>
      <c r="K148" s="34">
        <v>7.3839999999999986</v>
      </c>
    </row>
    <row r="149" spans="1:11" x14ac:dyDescent="0.3">
      <c r="A149" s="24">
        <v>22</v>
      </c>
      <c r="B149" s="5">
        <v>42717</v>
      </c>
      <c r="C149" s="43" t="s">
        <v>66</v>
      </c>
      <c r="D149" s="37" t="s">
        <v>67</v>
      </c>
      <c r="E149" s="27">
        <v>68025</v>
      </c>
      <c r="F149" s="43" t="s">
        <v>68</v>
      </c>
      <c r="G149" s="40" t="s">
        <v>21</v>
      </c>
      <c r="H149" s="37" t="s">
        <v>34</v>
      </c>
      <c r="I149" s="31">
        <v>19.459999999999997</v>
      </c>
      <c r="J149" s="27">
        <v>7</v>
      </c>
      <c r="K149" s="34">
        <v>5.0595999999999997</v>
      </c>
    </row>
    <row r="150" spans="1:11" ht="15" thickBot="1" x14ac:dyDescent="0.35">
      <c r="A150" s="25">
        <v>23</v>
      </c>
      <c r="B150" s="8">
        <v>42717</v>
      </c>
      <c r="C150" s="44" t="s">
        <v>66</v>
      </c>
      <c r="D150" s="38" t="s">
        <v>67</v>
      </c>
      <c r="E150" s="28">
        <v>68025</v>
      </c>
      <c r="F150" s="44" t="s">
        <v>69</v>
      </c>
      <c r="G150" s="41" t="s">
        <v>21</v>
      </c>
      <c r="H150" s="38" t="s">
        <v>41</v>
      </c>
      <c r="I150" s="32">
        <v>60.339999999999996</v>
      </c>
      <c r="J150" s="28">
        <v>7</v>
      </c>
      <c r="K150" s="35">
        <v>15.688400000000001</v>
      </c>
    </row>
    <row r="151" spans="1:11" ht="26.4" thickBot="1" x14ac:dyDescent="0.55000000000000004">
      <c r="A151" s="47" t="s">
        <v>95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</row>
    <row r="152" spans="1:11" ht="21.6" thickBot="1" x14ac:dyDescent="0.45">
      <c r="A152" s="23" t="s">
        <v>0</v>
      </c>
      <c r="B152" s="45" t="s">
        <v>1</v>
      </c>
      <c r="C152" s="46" t="s">
        <v>2</v>
      </c>
      <c r="D152" s="36" t="s">
        <v>3</v>
      </c>
      <c r="E152" s="26" t="s">
        <v>4</v>
      </c>
      <c r="F152" s="42" t="s">
        <v>5</v>
      </c>
      <c r="G152" s="39" t="s">
        <v>6</v>
      </c>
      <c r="H152" s="36" t="s">
        <v>7</v>
      </c>
      <c r="I152" s="30" t="s">
        <v>8</v>
      </c>
      <c r="J152" s="26" t="s">
        <v>88</v>
      </c>
      <c r="K152" s="33" t="s">
        <v>10</v>
      </c>
    </row>
    <row r="153" spans="1:11" x14ac:dyDescent="0.3">
      <c r="A153" s="24">
        <v>1</v>
      </c>
      <c r="B153" s="5">
        <v>42685</v>
      </c>
      <c r="C153" s="43" t="s">
        <v>11</v>
      </c>
      <c r="D153" s="37" t="s">
        <v>12</v>
      </c>
      <c r="E153" s="27">
        <v>42420</v>
      </c>
      <c r="F153" s="43" t="s">
        <v>13</v>
      </c>
      <c r="G153" s="40" t="s">
        <v>14</v>
      </c>
      <c r="H153" s="37" t="s">
        <v>15</v>
      </c>
      <c r="I153" s="31">
        <v>261.95999999999998</v>
      </c>
      <c r="J153" s="27">
        <v>2</v>
      </c>
      <c r="K153" s="34">
        <v>41.913600000000002</v>
      </c>
    </row>
    <row r="154" spans="1:11" x14ac:dyDescent="0.3">
      <c r="A154" s="24">
        <v>2</v>
      </c>
      <c r="B154" s="5">
        <v>42685</v>
      </c>
      <c r="C154" s="43" t="s">
        <v>11</v>
      </c>
      <c r="D154" s="37" t="s">
        <v>12</v>
      </c>
      <c r="E154" s="27">
        <v>42420</v>
      </c>
      <c r="F154" s="43" t="s">
        <v>16</v>
      </c>
      <c r="G154" s="40" t="s">
        <v>14</v>
      </c>
      <c r="H154" s="37" t="s">
        <v>17</v>
      </c>
      <c r="I154" s="31">
        <v>731.93999999999994</v>
      </c>
      <c r="J154" s="27">
        <v>3</v>
      </c>
      <c r="K154" s="34">
        <v>219.58199999999997</v>
      </c>
    </row>
    <row r="155" spans="1:11" x14ac:dyDescent="0.3">
      <c r="A155" s="24">
        <v>3</v>
      </c>
      <c r="B155" s="5">
        <v>42537</v>
      </c>
      <c r="C155" s="43" t="s">
        <v>18</v>
      </c>
      <c r="D155" s="37" t="s">
        <v>19</v>
      </c>
      <c r="E155" s="27">
        <v>90036</v>
      </c>
      <c r="F155" s="43" t="s">
        <v>20</v>
      </c>
      <c r="G155" s="40" t="s">
        <v>21</v>
      </c>
      <c r="H155" s="37" t="s">
        <v>22</v>
      </c>
      <c r="I155" s="31">
        <v>14.62</v>
      </c>
      <c r="J155" s="27">
        <v>2</v>
      </c>
      <c r="K155" s="34">
        <v>6.8713999999999995</v>
      </c>
    </row>
    <row r="156" spans="1:11" x14ac:dyDescent="0.3">
      <c r="A156" s="24">
        <v>4</v>
      </c>
      <c r="B156" s="5">
        <v>42295</v>
      </c>
      <c r="C156" s="43" t="s">
        <v>23</v>
      </c>
      <c r="D156" s="37" t="s">
        <v>24</v>
      </c>
      <c r="E156" s="27">
        <v>33311</v>
      </c>
      <c r="F156" s="43" t="s">
        <v>25</v>
      </c>
      <c r="G156" s="40" t="s">
        <v>14</v>
      </c>
      <c r="H156" s="37" t="s">
        <v>26</v>
      </c>
      <c r="I156" s="31">
        <v>957.57749999999999</v>
      </c>
      <c r="J156" s="27">
        <v>5</v>
      </c>
      <c r="K156" s="34">
        <v>-383.03100000000006</v>
      </c>
    </row>
    <row r="157" spans="1:11" x14ac:dyDescent="0.3">
      <c r="A157" s="24">
        <v>5</v>
      </c>
      <c r="B157" s="5">
        <v>42295</v>
      </c>
      <c r="C157" s="43" t="s">
        <v>23</v>
      </c>
      <c r="D157" s="37" t="s">
        <v>24</v>
      </c>
      <c r="E157" s="27">
        <v>33311</v>
      </c>
      <c r="F157" s="43" t="s">
        <v>27</v>
      </c>
      <c r="G157" s="40" t="s">
        <v>21</v>
      </c>
      <c r="H157" s="37" t="s">
        <v>28</v>
      </c>
      <c r="I157" s="31">
        <v>22.368000000000002</v>
      </c>
      <c r="J157" s="27">
        <v>2</v>
      </c>
      <c r="K157" s="34">
        <v>2.5163999999999991</v>
      </c>
    </row>
    <row r="158" spans="1:11" x14ac:dyDescent="0.3">
      <c r="A158" s="24">
        <v>6</v>
      </c>
      <c r="B158" s="5">
        <v>41804</v>
      </c>
      <c r="C158" s="43" t="s">
        <v>29</v>
      </c>
      <c r="D158" s="37" t="s">
        <v>30</v>
      </c>
      <c r="E158" s="27">
        <v>90032</v>
      </c>
      <c r="F158" s="43" t="s">
        <v>31</v>
      </c>
      <c r="G158" s="40" t="s">
        <v>14</v>
      </c>
      <c r="H158" s="37" t="s">
        <v>32</v>
      </c>
      <c r="I158" s="31">
        <v>48.86</v>
      </c>
      <c r="J158" s="27">
        <v>7</v>
      </c>
      <c r="K158" s="34">
        <v>14.169399999999996</v>
      </c>
    </row>
    <row r="159" spans="1:11" x14ac:dyDescent="0.3">
      <c r="A159" s="24">
        <v>7</v>
      </c>
      <c r="B159" s="5">
        <v>41804</v>
      </c>
      <c r="C159" s="43" t="s">
        <v>29</v>
      </c>
      <c r="D159" s="37" t="s">
        <v>30</v>
      </c>
      <c r="E159" s="27">
        <v>90032</v>
      </c>
      <c r="F159" s="43" t="s">
        <v>33</v>
      </c>
      <c r="G159" s="40" t="s">
        <v>21</v>
      </c>
      <c r="H159" s="37" t="s">
        <v>34</v>
      </c>
      <c r="I159" s="31">
        <v>7.28</v>
      </c>
      <c r="J159" s="27">
        <v>4</v>
      </c>
      <c r="K159" s="34">
        <v>1.9656000000000002</v>
      </c>
    </row>
    <row r="160" spans="1:11" x14ac:dyDescent="0.3">
      <c r="A160" s="24">
        <v>8</v>
      </c>
      <c r="B160" s="5">
        <v>41804</v>
      </c>
      <c r="C160" s="43" t="s">
        <v>29</v>
      </c>
      <c r="D160" s="37" t="s">
        <v>30</v>
      </c>
      <c r="E160" s="27">
        <v>90032</v>
      </c>
      <c r="F160" s="43" t="s">
        <v>35</v>
      </c>
      <c r="G160" s="40" t="s">
        <v>36</v>
      </c>
      <c r="H160" s="37" t="s">
        <v>37</v>
      </c>
      <c r="I160" s="31">
        <v>907.15200000000004</v>
      </c>
      <c r="J160" s="27">
        <v>6</v>
      </c>
      <c r="K160" s="34">
        <v>90.715200000000038</v>
      </c>
    </row>
    <row r="161" spans="1:11" x14ac:dyDescent="0.3">
      <c r="A161" s="24">
        <v>9</v>
      </c>
      <c r="B161" s="5">
        <v>41804</v>
      </c>
      <c r="C161" s="43" t="s">
        <v>29</v>
      </c>
      <c r="D161" s="37" t="s">
        <v>30</v>
      </c>
      <c r="E161" s="27">
        <v>90032</v>
      </c>
      <c r="F161" s="43" t="s">
        <v>38</v>
      </c>
      <c r="G161" s="40" t="s">
        <v>21</v>
      </c>
      <c r="H161" s="37" t="s">
        <v>39</v>
      </c>
      <c r="I161" s="31">
        <v>18.504000000000001</v>
      </c>
      <c r="J161" s="27">
        <v>3</v>
      </c>
      <c r="K161" s="34">
        <v>5.7824999999999998</v>
      </c>
    </row>
    <row r="162" spans="1:11" x14ac:dyDescent="0.3">
      <c r="A162" s="24">
        <v>10</v>
      </c>
      <c r="B162" s="5">
        <v>41804</v>
      </c>
      <c r="C162" s="43" t="s">
        <v>29</v>
      </c>
      <c r="D162" s="37" t="s">
        <v>30</v>
      </c>
      <c r="E162" s="27">
        <v>90032</v>
      </c>
      <c r="F162" s="43" t="s">
        <v>40</v>
      </c>
      <c r="G162" s="40" t="s">
        <v>21</v>
      </c>
      <c r="H162" s="37" t="s">
        <v>41</v>
      </c>
      <c r="I162" s="31">
        <v>114.9</v>
      </c>
      <c r="J162" s="27">
        <v>5</v>
      </c>
      <c r="K162" s="34">
        <v>34.469999999999992</v>
      </c>
    </row>
    <row r="163" spans="1:11" x14ac:dyDescent="0.3">
      <c r="A163" s="24">
        <v>11</v>
      </c>
      <c r="B163" s="5">
        <v>41804</v>
      </c>
      <c r="C163" s="43" t="s">
        <v>29</v>
      </c>
      <c r="D163" s="37" t="s">
        <v>30</v>
      </c>
      <c r="E163" s="27">
        <v>90032</v>
      </c>
      <c r="F163" s="43" t="s">
        <v>42</v>
      </c>
      <c r="G163" s="40" t="s">
        <v>14</v>
      </c>
      <c r="H163" s="37" t="s">
        <v>26</v>
      </c>
      <c r="I163" s="31">
        <v>1706.1840000000002</v>
      </c>
      <c r="J163" s="27">
        <v>9</v>
      </c>
      <c r="K163" s="34">
        <v>85.309199999999805</v>
      </c>
    </row>
    <row r="164" spans="1:11" x14ac:dyDescent="0.3">
      <c r="A164" s="24">
        <v>12</v>
      </c>
      <c r="B164" s="5">
        <v>41804</v>
      </c>
      <c r="C164" s="43" t="s">
        <v>29</v>
      </c>
      <c r="D164" s="37" t="s">
        <v>30</v>
      </c>
      <c r="E164" s="27">
        <v>90032</v>
      </c>
      <c r="F164" s="43" t="s">
        <v>43</v>
      </c>
      <c r="G164" s="40" t="s">
        <v>36</v>
      </c>
      <c r="H164" s="37" t="s">
        <v>37</v>
      </c>
      <c r="I164" s="31">
        <v>911.42399999999998</v>
      </c>
      <c r="J164" s="27">
        <v>4</v>
      </c>
      <c r="K164" s="34">
        <v>68.356800000000021</v>
      </c>
    </row>
    <row r="165" spans="1:11" x14ac:dyDescent="0.3">
      <c r="A165" s="24">
        <v>13</v>
      </c>
      <c r="B165" s="5">
        <v>42845</v>
      </c>
      <c r="C165" s="43" t="s">
        <v>44</v>
      </c>
      <c r="D165" s="37" t="s">
        <v>45</v>
      </c>
      <c r="E165" s="27">
        <v>28027</v>
      </c>
      <c r="F165" s="43" t="s">
        <v>46</v>
      </c>
      <c r="G165" s="40" t="s">
        <v>21</v>
      </c>
      <c r="H165" s="37" t="s">
        <v>47</v>
      </c>
      <c r="I165" s="31">
        <v>15.552000000000003</v>
      </c>
      <c r="J165" s="27">
        <v>3</v>
      </c>
      <c r="K165" s="34">
        <v>5.4432</v>
      </c>
    </row>
    <row r="166" spans="1:11" x14ac:dyDescent="0.3">
      <c r="A166" s="24">
        <v>14</v>
      </c>
      <c r="B166" s="5">
        <v>42714</v>
      </c>
      <c r="C166" s="43" t="s">
        <v>48</v>
      </c>
      <c r="D166" s="37" t="s">
        <v>49</v>
      </c>
      <c r="E166" s="27">
        <v>98103</v>
      </c>
      <c r="F166" s="43" t="s">
        <v>50</v>
      </c>
      <c r="G166" s="40" t="s">
        <v>21</v>
      </c>
      <c r="H166" s="37" t="s">
        <v>39</v>
      </c>
      <c r="I166" s="31">
        <v>407.97600000000006</v>
      </c>
      <c r="J166" s="27">
        <v>3</v>
      </c>
      <c r="K166" s="34">
        <v>132.59219999999993</v>
      </c>
    </row>
    <row r="167" spans="1:11" x14ac:dyDescent="0.3">
      <c r="A167" s="24">
        <v>15</v>
      </c>
      <c r="B167" s="5">
        <v>42334</v>
      </c>
      <c r="C167" s="43" t="s">
        <v>51</v>
      </c>
      <c r="D167" s="37" t="s">
        <v>52</v>
      </c>
      <c r="E167" s="27">
        <v>76106</v>
      </c>
      <c r="F167" s="43" t="s">
        <v>53</v>
      </c>
      <c r="G167" s="40" t="s">
        <v>21</v>
      </c>
      <c r="H167" s="37" t="s">
        <v>41</v>
      </c>
      <c r="I167" s="31">
        <v>68.809999999999988</v>
      </c>
      <c r="J167" s="27">
        <v>5</v>
      </c>
      <c r="K167" s="34">
        <v>-123.858</v>
      </c>
    </row>
    <row r="168" spans="1:11" x14ac:dyDescent="0.3">
      <c r="A168" s="24">
        <v>16</v>
      </c>
      <c r="B168" s="5">
        <v>42334</v>
      </c>
      <c r="C168" s="43" t="s">
        <v>51</v>
      </c>
      <c r="D168" s="37" t="s">
        <v>52</v>
      </c>
      <c r="E168" s="27">
        <v>76106</v>
      </c>
      <c r="F168" s="43" t="s">
        <v>54</v>
      </c>
      <c r="G168" s="40" t="s">
        <v>21</v>
      </c>
      <c r="H168" s="37" t="s">
        <v>39</v>
      </c>
      <c r="I168" s="31">
        <v>2.5439999999999996</v>
      </c>
      <c r="J168" s="27">
        <v>3</v>
      </c>
      <c r="K168" s="34">
        <v>-3.8160000000000016</v>
      </c>
    </row>
    <row r="169" spans="1:11" x14ac:dyDescent="0.3">
      <c r="A169" s="24">
        <v>17</v>
      </c>
      <c r="B169" s="5">
        <v>41961</v>
      </c>
      <c r="C169" s="43" t="s">
        <v>55</v>
      </c>
      <c r="D169" s="37" t="s">
        <v>56</v>
      </c>
      <c r="E169" s="27">
        <v>53711</v>
      </c>
      <c r="F169" s="43" t="s">
        <v>57</v>
      </c>
      <c r="G169" s="40" t="s">
        <v>21</v>
      </c>
      <c r="H169" s="37" t="s">
        <v>28</v>
      </c>
      <c r="I169" s="31">
        <v>665.88</v>
      </c>
      <c r="J169" s="27">
        <v>6</v>
      </c>
      <c r="K169" s="34">
        <v>13.317599999999999</v>
      </c>
    </row>
    <row r="170" spans="1:11" x14ac:dyDescent="0.3">
      <c r="A170" s="24">
        <v>18</v>
      </c>
      <c r="B170" s="5">
        <v>41774</v>
      </c>
      <c r="C170" s="43" t="s">
        <v>58</v>
      </c>
      <c r="D170" s="37" t="s">
        <v>59</v>
      </c>
      <c r="E170" s="27">
        <v>84084</v>
      </c>
      <c r="F170" s="43" t="s">
        <v>60</v>
      </c>
      <c r="G170" s="40" t="s">
        <v>21</v>
      </c>
      <c r="H170" s="37" t="s">
        <v>28</v>
      </c>
      <c r="I170" s="31">
        <v>55.5</v>
      </c>
      <c r="J170" s="27">
        <v>2</v>
      </c>
      <c r="K170" s="34">
        <v>9.9899999999999949</v>
      </c>
    </row>
    <row r="171" spans="1:11" x14ac:dyDescent="0.3">
      <c r="A171" s="24">
        <v>19</v>
      </c>
      <c r="B171" s="5">
        <v>41883</v>
      </c>
      <c r="C171" s="43" t="s">
        <v>61</v>
      </c>
      <c r="D171" s="37" t="s">
        <v>62</v>
      </c>
      <c r="E171" s="27">
        <v>94109</v>
      </c>
      <c r="F171" s="43" t="s">
        <v>63</v>
      </c>
      <c r="G171" s="40" t="s">
        <v>21</v>
      </c>
      <c r="H171" s="37" t="s">
        <v>34</v>
      </c>
      <c r="I171" s="31">
        <v>8.56</v>
      </c>
      <c r="J171" s="27">
        <v>2</v>
      </c>
      <c r="K171" s="34">
        <v>2.4823999999999993</v>
      </c>
    </row>
    <row r="172" spans="1:11" x14ac:dyDescent="0.3">
      <c r="A172" s="24">
        <v>20</v>
      </c>
      <c r="B172" s="5">
        <v>41883</v>
      </c>
      <c r="C172" s="43" t="s">
        <v>61</v>
      </c>
      <c r="D172" s="37" t="s">
        <v>62</v>
      </c>
      <c r="E172" s="27">
        <v>94109</v>
      </c>
      <c r="F172" s="43" t="s">
        <v>64</v>
      </c>
      <c r="G172" s="40" t="s">
        <v>36</v>
      </c>
      <c r="H172" s="37" t="s">
        <v>37</v>
      </c>
      <c r="I172" s="31">
        <v>213.48000000000002</v>
      </c>
      <c r="J172" s="27">
        <v>3</v>
      </c>
      <c r="K172" s="34">
        <v>16.010999999999981</v>
      </c>
    </row>
    <row r="173" spans="1:11" x14ac:dyDescent="0.3">
      <c r="A173" s="24">
        <v>21</v>
      </c>
      <c r="B173" s="5">
        <v>41883</v>
      </c>
      <c r="C173" s="43" t="s">
        <v>61</v>
      </c>
      <c r="D173" s="37" t="s">
        <v>62</v>
      </c>
      <c r="E173" s="27">
        <v>94109</v>
      </c>
      <c r="F173" s="43" t="s">
        <v>65</v>
      </c>
      <c r="G173" s="40" t="s">
        <v>21</v>
      </c>
      <c r="H173" s="37" t="s">
        <v>39</v>
      </c>
      <c r="I173" s="31">
        <v>22.72</v>
      </c>
      <c r="J173" s="27">
        <v>4</v>
      </c>
      <c r="K173" s="34">
        <v>7.3839999999999986</v>
      </c>
    </row>
    <row r="174" spans="1:11" x14ac:dyDescent="0.3">
      <c r="A174" s="24">
        <v>22</v>
      </c>
      <c r="B174" s="5">
        <v>42717</v>
      </c>
      <c r="C174" s="43" t="s">
        <v>66</v>
      </c>
      <c r="D174" s="37" t="s">
        <v>67</v>
      </c>
      <c r="E174" s="27">
        <v>68025</v>
      </c>
      <c r="F174" s="43" t="s">
        <v>68</v>
      </c>
      <c r="G174" s="40" t="s">
        <v>21</v>
      </c>
      <c r="H174" s="37" t="s">
        <v>34</v>
      </c>
      <c r="I174" s="31">
        <v>19.459999999999997</v>
      </c>
      <c r="J174" s="27">
        <v>7</v>
      </c>
      <c r="K174" s="34">
        <v>5.0595999999999997</v>
      </c>
    </row>
    <row r="175" spans="1:11" ht="15" thickBot="1" x14ac:dyDescent="0.35">
      <c r="A175" s="25">
        <v>23</v>
      </c>
      <c r="B175" s="8">
        <v>42717</v>
      </c>
      <c r="C175" s="44" t="s">
        <v>66</v>
      </c>
      <c r="D175" s="38" t="s">
        <v>67</v>
      </c>
      <c r="E175" s="28">
        <v>68025</v>
      </c>
      <c r="F175" s="44" t="s">
        <v>69</v>
      </c>
      <c r="G175" s="41" t="s">
        <v>21</v>
      </c>
      <c r="H175" s="38" t="s">
        <v>41</v>
      </c>
      <c r="I175" s="32">
        <v>60.339999999999996</v>
      </c>
      <c r="J175" s="28">
        <v>7</v>
      </c>
      <c r="K175" s="35">
        <v>15.688400000000001</v>
      </c>
    </row>
    <row r="176" spans="1:11" ht="26.4" thickBot="1" x14ac:dyDescent="0.55000000000000004">
      <c r="A176" s="47" t="s">
        <v>96</v>
      </c>
      <c r="B176" s="47"/>
      <c r="C176" s="47"/>
      <c r="D176" s="47"/>
      <c r="E176" s="47"/>
      <c r="F176" s="47"/>
      <c r="G176" s="47"/>
      <c r="H176" s="47"/>
      <c r="I176" s="47"/>
      <c r="J176" s="47"/>
      <c r="K176" s="47"/>
    </row>
    <row r="177" spans="1:11" ht="21.6" thickBot="1" x14ac:dyDescent="0.45">
      <c r="A177" s="23" t="s">
        <v>0</v>
      </c>
      <c r="B177" s="45" t="s">
        <v>1</v>
      </c>
      <c r="C177" s="46" t="s">
        <v>2</v>
      </c>
      <c r="D177" s="36" t="s">
        <v>3</v>
      </c>
      <c r="E177" s="26" t="s">
        <v>4</v>
      </c>
      <c r="F177" s="42" t="s">
        <v>5</v>
      </c>
      <c r="G177" s="39" t="s">
        <v>6</v>
      </c>
      <c r="H177" s="36" t="s">
        <v>7</v>
      </c>
      <c r="I177" s="30" t="s">
        <v>8</v>
      </c>
      <c r="J177" s="26" t="s">
        <v>88</v>
      </c>
      <c r="K177" s="33" t="s">
        <v>10</v>
      </c>
    </row>
    <row r="178" spans="1:11" x14ac:dyDescent="0.3">
      <c r="A178" s="24">
        <v>1</v>
      </c>
      <c r="B178" s="5">
        <v>42685</v>
      </c>
      <c r="C178" s="43" t="s">
        <v>11</v>
      </c>
      <c r="D178" s="37" t="s">
        <v>12</v>
      </c>
      <c r="E178" s="27">
        <v>42420</v>
      </c>
      <c r="F178" s="43" t="s">
        <v>13</v>
      </c>
      <c r="G178" s="40" t="s">
        <v>14</v>
      </c>
      <c r="H178" s="37" t="s">
        <v>15</v>
      </c>
      <c r="I178" s="31">
        <v>261.95999999999998</v>
      </c>
      <c r="J178" s="27">
        <v>2</v>
      </c>
      <c r="K178" s="34">
        <v>41.913600000000002</v>
      </c>
    </row>
    <row r="179" spans="1:11" x14ac:dyDescent="0.3">
      <c r="A179" s="24">
        <v>2</v>
      </c>
      <c r="B179" s="5">
        <v>42685</v>
      </c>
      <c r="C179" s="43" t="s">
        <v>11</v>
      </c>
      <c r="D179" s="37" t="s">
        <v>12</v>
      </c>
      <c r="E179" s="27">
        <v>42420</v>
      </c>
      <c r="F179" s="43" t="s">
        <v>16</v>
      </c>
      <c r="G179" s="40" t="s">
        <v>14</v>
      </c>
      <c r="H179" s="37" t="s">
        <v>17</v>
      </c>
      <c r="I179" s="31">
        <v>731.93999999999994</v>
      </c>
      <c r="J179" s="27">
        <v>3</v>
      </c>
      <c r="K179" s="34">
        <v>219.58199999999997</v>
      </c>
    </row>
    <row r="180" spans="1:11" x14ac:dyDescent="0.3">
      <c r="A180" s="24">
        <v>3</v>
      </c>
      <c r="B180" s="5">
        <v>42537</v>
      </c>
      <c r="C180" s="43" t="s">
        <v>18</v>
      </c>
      <c r="D180" s="37" t="s">
        <v>19</v>
      </c>
      <c r="E180" s="27">
        <v>90036</v>
      </c>
      <c r="F180" s="43" t="s">
        <v>20</v>
      </c>
      <c r="G180" s="40" t="s">
        <v>21</v>
      </c>
      <c r="H180" s="37" t="s">
        <v>22</v>
      </c>
      <c r="I180" s="31">
        <v>14.62</v>
      </c>
      <c r="J180" s="27">
        <v>2</v>
      </c>
      <c r="K180" s="34">
        <v>6.8713999999999995</v>
      </c>
    </row>
    <row r="181" spans="1:11" x14ac:dyDescent="0.3">
      <c r="A181" s="24">
        <v>4</v>
      </c>
      <c r="B181" s="5">
        <v>42295</v>
      </c>
      <c r="C181" s="43" t="s">
        <v>23</v>
      </c>
      <c r="D181" s="37" t="s">
        <v>24</v>
      </c>
      <c r="E181" s="27">
        <v>33311</v>
      </c>
      <c r="F181" s="43" t="s">
        <v>25</v>
      </c>
      <c r="G181" s="40" t="s">
        <v>14</v>
      </c>
      <c r="H181" s="37" t="s">
        <v>26</v>
      </c>
      <c r="I181" s="31">
        <v>957.57749999999999</v>
      </c>
      <c r="J181" s="27">
        <v>5</v>
      </c>
      <c r="K181" s="34">
        <v>-383.03100000000006</v>
      </c>
    </row>
    <row r="182" spans="1:11" x14ac:dyDescent="0.3">
      <c r="A182" s="24">
        <v>5</v>
      </c>
      <c r="B182" s="5">
        <v>42295</v>
      </c>
      <c r="C182" s="43" t="s">
        <v>23</v>
      </c>
      <c r="D182" s="37" t="s">
        <v>24</v>
      </c>
      <c r="E182" s="27">
        <v>33311</v>
      </c>
      <c r="F182" s="43" t="s">
        <v>27</v>
      </c>
      <c r="G182" s="40" t="s">
        <v>21</v>
      </c>
      <c r="H182" s="37" t="s">
        <v>28</v>
      </c>
      <c r="I182" s="31">
        <v>22.368000000000002</v>
      </c>
      <c r="J182" s="27">
        <v>2</v>
      </c>
      <c r="K182" s="34">
        <v>2.5163999999999991</v>
      </c>
    </row>
    <row r="183" spans="1:11" x14ac:dyDescent="0.3">
      <c r="A183" s="24">
        <v>6</v>
      </c>
      <c r="B183" s="5">
        <v>41804</v>
      </c>
      <c r="C183" s="43" t="s">
        <v>29</v>
      </c>
      <c r="D183" s="37" t="s">
        <v>30</v>
      </c>
      <c r="E183" s="27">
        <v>90032</v>
      </c>
      <c r="F183" s="43" t="s">
        <v>31</v>
      </c>
      <c r="G183" s="40" t="s">
        <v>14</v>
      </c>
      <c r="H183" s="37" t="s">
        <v>32</v>
      </c>
      <c r="I183" s="31">
        <v>48.86</v>
      </c>
      <c r="J183" s="27">
        <v>7</v>
      </c>
      <c r="K183" s="34">
        <v>14.169399999999996</v>
      </c>
    </row>
    <row r="184" spans="1:11" x14ac:dyDescent="0.3">
      <c r="A184" s="24">
        <v>7</v>
      </c>
      <c r="B184" s="5">
        <v>41804</v>
      </c>
      <c r="C184" s="43" t="s">
        <v>29</v>
      </c>
      <c r="D184" s="37" t="s">
        <v>30</v>
      </c>
      <c r="E184" s="27">
        <v>90032</v>
      </c>
      <c r="F184" s="43" t="s">
        <v>33</v>
      </c>
      <c r="G184" s="40" t="s">
        <v>21</v>
      </c>
      <c r="H184" s="37" t="s">
        <v>34</v>
      </c>
      <c r="I184" s="31">
        <v>7.28</v>
      </c>
      <c r="J184" s="27">
        <v>4</v>
      </c>
      <c r="K184" s="34">
        <v>1.9656000000000002</v>
      </c>
    </row>
    <row r="185" spans="1:11" x14ac:dyDescent="0.3">
      <c r="A185" s="24">
        <v>8</v>
      </c>
      <c r="B185" s="5">
        <v>41804</v>
      </c>
      <c r="C185" s="43" t="s">
        <v>29</v>
      </c>
      <c r="D185" s="37" t="s">
        <v>30</v>
      </c>
      <c r="E185" s="27">
        <v>90032</v>
      </c>
      <c r="F185" s="43" t="s">
        <v>35</v>
      </c>
      <c r="G185" s="40" t="s">
        <v>36</v>
      </c>
      <c r="H185" s="37" t="s">
        <v>37</v>
      </c>
      <c r="I185" s="31">
        <v>907.15200000000004</v>
      </c>
      <c r="J185" s="27">
        <v>6</v>
      </c>
      <c r="K185" s="34">
        <v>90.715200000000038</v>
      </c>
    </row>
    <row r="186" spans="1:11" x14ac:dyDescent="0.3">
      <c r="A186" s="24">
        <v>9</v>
      </c>
      <c r="B186" s="5">
        <v>41804</v>
      </c>
      <c r="C186" s="43" t="s">
        <v>29</v>
      </c>
      <c r="D186" s="37" t="s">
        <v>30</v>
      </c>
      <c r="E186" s="27">
        <v>90032</v>
      </c>
      <c r="F186" s="43" t="s">
        <v>38</v>
      </c>
      <c r="G186" s="40" t="s">
        <v>21</v>
      </c>
      <c r="H186" s="37" t="s">
        <v>39</v>
      </c>
      <c r="I186" s="31">
        <v>18.504000000000001</v>
      </c>
      <c r="J186" s="27">
        <v>3</v>
      </c>
      <c r="K186" s="34">
        <v>5.7824999999999998</v>
      </c>
    </row>
    <row r="187" spans="1:11" x14ac:dyDescent="0.3">
      <c r="A187" s="24">
        <v>10</v>
      </c>
      <c r="B187" s="5">
        <v>41804</v>
      </c>
      <c r="C187" s="43" t="s">
        <v>29</v>
      </c>
      <c r="D187" s="37" t="s">
        <v>30</v>
      </c>
      <c r="E187" s="27">
        <v>90032</v>
      </c>
      <c r="F187" s="43" t="s">
        <v>40</v>
      </c>
      <c r="G187" s="40" t="s">
        <v>21</v>
      </c>
      <c r="H187" s="37" t="s">
        <v>41</v>
      </c>
      <c r="I187" s="31">
        <v>114.9</v>
      </c>
      <c r="J187" s="27">
        <v>5</v>
      </c>
      <c r="K187" s="34">
        <v>34.469999999999992</v>
      </c>
    </row>
    <row r="188" spans="1:11" x14ac:dyDescent="0.3">
      <c r="A188" s="24">
        <v>11</v>
      </c>
      <c r="B188" s="5">
        <v>41804</v>
      </c>
      <c r="C188" s="43" t="s">
        <v>29</v>
      </c>
      <c r="D188" s="37" t="s">
        <v>30</v>
      </c>
      <c r="E188" s="27">
        <v>90032</v>
      </c>
      <c r="F188" s="43" t="s">
        <v>42</v>
      </c>
      <c r="G188" s="40" t="s">
        <v>14</v>
      </c>
      <c r="H188" s="37" t="s">
        <v>26</v>
      </c>
      <c r="I188" s="31">
        <v>1706.1840000000002</v>
      </c>
      <c r="J188" s="27">
        <v>9</v>
      </c>
      <c r="K188" s="34">
        <v>85.309199999999805</v>
      </c>
    </row>
    <row r="189" spans="1:11" x14ac:dyDescent="0.3">
      <c r="A189" s="24">
        <v>12</v>
      </c>
      <c r="B189" s="5">
        <v>41804</v>
      </c>
      <c r="C189" s="43" t="s">
        <v>29</v>
      </c>
      <c r="D189" s="37" t="s">
        <v>30</v>
      </c>
      <c r="E189" s="27">
        <v>90032</v>
      </c>
      <c r="F189" s="43" t="s">
        <v>43</v>
      </c>
      <c r="G189" s="40" t="s">
        <v>36</v>
      </c>
      <c r="H189" s="37" t="s">
        <v>37</v>
      </c>
      <c r="I189" s="31">
        <v>911.42399999999998</v>
      </c>
      <c r="J189" s="27">
        <v>4</v>
      </c>
      <c r="K189" s="34">
        <v>68.356800000000021</v>
      </c>
    </row>
    <row r="190" spans="1:11" x14ac:dyDescent="0.3">
      <c r="A190" s="24">
        <v>13</v>
      </c>
      <c r="B190" s="5">
        <v>42845</v>
      </c>
      <c r="C190" s="43" t="s">
        <v>44</v>
      </c>
      <c r="D190" s="37" t="s">
        <v>45</v>
      </c>
      <c r="E190" s="27">
        <v>28027</v>
      </c>
      <c r="F190" s="43" t="s">
        <v>46</v>
      </c>
      <c r="G190" s="40" t="s">
        <v>21</v>
      </c>
      <c r="H190" s="37" t="s">
        <v>47</v>
      </c>
      <c r="I190" s="31">
        <v>15.552000000000003</v>
      </c>
      <c r="J190" s="27">
        <v>3</v>
      </c>
      <c r="K190" s="34">
        <v>5.4432</v>
      </c>
    </row>
    <row r="191" spans="1:11" x14ac:dyDescent="0.3">
      <c r="A191" s="24">
        <v>14</v>
      </c>
      <c r="B191" s="5">
        <v>42714</v>
      </c>
      <c r="C191" s="43" t="s">
        <v>48</v>
      </c>
      <c r="D191" s="37" t="s">
        <v>49</v>
      </c>
      <c r="E191" s="27">
        <v>98103</v>
      </c>
      <c r="F191" s="43" t="s">
        <v>50</v>
      </c>
      <c r="G191" s="40" t="s">
        <v>21</v>
      </c>
      <c r="H191" s="37" t="s">
        <v>39</v>
      </c>
      <c r="I191" s="31">
        <v>407.97600000000006</v>
      </c>
      <c r="J191" s="27">
        <v>3</v>
      </c>
      <c r="K191" s="34">
        <v>132.59219999999993</v>
      </c>
    </row>
    <row r="192" spans="1:11" x14ac:dyDescent="0.3">
      <c r="A192" s="24">
        <v>15</v>
      </c>
      <c r="B192" s="5">
        <v>42334</v>
      </c>
      <c r="C192" s="43" t="s">
        <v>51</v>
      </c>
      <c r="D192" s="37" t="s">
        <v>52</v>
      </c>
      <c r="E192" s="27">
        <v>76106</v>
      </c>
      <c r="F192" s="43" t="s">
        <v>53</v>
      </c>
      <c r="G192" s="40" t="s">
        <v>21</v>
      </c>
      <c r="H192" s="37" t="s">
        <v>41</v>
      </c>
      <c r="I192" s="31">
        <v>68.809999999999988</v>
      </c>
      <c r="J192" s="27">
        <v>5</v>
      </c>
      <c r="K192" s="34">
        <v>-123.858</v>
      </c>
    </row>
    <row r="193" spans="1:11" x14ac:dyDescent="0.3">
      <c r="A193" s="24">
        <v>16</v>
      </c>
      <c r="B193" s="5">
        <v>42334</v>
      </c>
      <c r="C193" s="43" t="s">
        <v>51</v>
      </c>
      <c r="D193" s="37" t="s">
        <v>52</v>
      </c>
      <c r="E193" s="27">
        <v>76106</v>
      </c>
      <c r="F193" s="43" t="s">
        <v>54</v>
      </c>
      <c r="G193" s="40" t="s">
        <v>21</v>
      </c>
      <c r="H193" s="37" t="s">
        <v>39</v>
      </c>
      <c r="I193" s="31">
        <v>2.5439999999999996</v>
      </c>
      <c r="J193" s="27">
        <v>3</v>
      </c>
      <c r="K193" s="34">
        <v>-3.8160000000000016</v>
      </c>
    </row>
    <row r="194" spans="1:11" x14ac:dyDescent="0.3">
      <c r="A194" s="24">
        <v>17</v>
      </c>
      <c r="B194" s="5">
        <v>41961</v>
      </c>
      <c r="C194" s="43" t="s">
        <v>55</v>
      </c>
      <c r="D194" s="37" t="s">
        <v>56</v>
      </c>
      <c r="E194" s="27">
        <v>53711</v>
      </c>
      <c r="F194" s="43" t="s">
        <v>57</v>
      </c>
      <c r="G194" s="40" t="s">
        <v>21</v>
      </c>
      <c r="H194" s="37" t="s">
        <v>28</v>
      </c>
      <c r="I194" s="31">
        <v>665.88</v>
      </c>
      <c r="J194" s="27">
        <v>6</v>
      </c>
      <c r="K194" s="34">
        <v>13.317599999999999</v>
      </c>
    </row>
    <row r="195" spans="1:11" x14ac:dyDescent="0.3">
      <c r="A195" s="24">
        <v>18</v>
      </c>
      <c r="B195" s="5">
        <v>41774</v>
      </c>
      <c r="C195" s="43" t="s">
        <v>58</v>
      </c>
      <c r="D195" s="37" t="s">
        <v>59</v>
      </c>
      <c r="E195" s="27">
        <v>84084</v>
      </c>
      <c r="F195" s="43" t="s">
        <v>60</v>
      </c>
      <c r="G195" s="40" t="s">
        <v>21</v>
      </c>
      <c r="H195" s="37" t="s">
        <v>28</v>
      </c>
      <c r="I195" s="31">
        <v>55.5</v>
      </c>
      <c r="J195" s="27">
        <v>2</v>
      </c>
      <c r="K195" s="34">
        <v>9.9899999999999949</v>
      </c>
    </row>
    <row r="196" spans="1:11" x14ac:dyDescent="0.3">
      <c r="A196" s="24">
        <v>19</v>
      </c>
      <c r="B196" s="5">
        <v>41883</v>
      </c>
      <c r="C196" s="43" t="s">
        <v>61</v>
      </c>
      <c r="D196" s="37" t="s">
        <v>62</v>
      </c>
      <c r="E196" s="27">
        <v>94109</v>
      </c>
      <c r="F196" s="43" t="s">
        <v>63</v>
      </c>
      <c r="G196" s="40" t="s">
        <v>21</v>
      </c>
      <c r="H196" s="37" t="s">
        <v>34</v>
      </c>
      <c r="I196" s="31">
        <v>8.56</v>
      </c>
      <c r="J196" s="27">
        <v>2</v>
      </c>
      <c r="K196" s="34">
        <v>2.4823999999999993</v>
      </c>
    </row>
    <row r="197" spans="1:11" x14ac:dyDescent="0.3">
      <c r="A197" s="24">
        <v>20</v>
      </c>
      <c r="B197" s="5">
        <v>41883</v>
      </c>
      <c r="C197" s="43" t="s">
        <v>61</v>
      </c>
      <c r="D197" s="37" t="s">
        <v>62</v>
      </c>
      <c r="E197" s="27">
        <v>94109</v>
      </c>
      <c r="F197" s="43" t="s">
        <v>64</v>
      </c>
      <c r="G197" s="40" t="s">
        <v>36</v>
      </c>
      <c r="H197" s="37" t="s">
        <v>37</v>
      </c>
      <c r="I197" s="31">
        <v>213.48000000000002</v>
      </c>
      <c r="J197" s="27">
        <v>3</v>
      </c>
      <c r="K197" s="34">
        <v>16.010999999999981</v>
      </c>
    </row>
    <row r="198" spans="1:11" x14ac:dyDescent="0.3">
      <c r="A198" s="24">
        <v>21</v>
      </c>
      <c r="B198" s="5">
        <v>41883</v>
      </c>
      <c r="C198" s="43" t="s">
        <v>61</v>
      </c>
      <c r="D198" s="37" t="s">
        <v>62</v>
      </c>
      <c r="E198" s="27">
        <v>94109</v>
      </c>
      <c r="F198" s="43" t="s">
        <v>65</v>
      </c>
      <c r="G198" s="40" t="s">
        <v>21</v>
      </c>
      <c r="H198" s="37" t="s">
        <v>39</v>
      </c>
      <c r="I198" s="31">
        <v>22.72</v>
      </c>
      <c r="J198" s="27">
        <v>4</v>
      </c>
      <c r="K198" s="34">
        <v>7.3839999999999986</v>
      </c>
    </row>
    <row r="199" spans="1:11" x14ac:dyDescent="0.3">
      <c r="A199" s="24">
        <v>22</v>
      </c>
      <c r="B199" s="5">
        <v>42717</v>
      </c>
      <c r="C199" s="43" t="s">
        <v>66</v>
      </c>
      <c r="D199" s="37" t="s">
        <v>67</v>
      </c>
      <c r="E199" s="27">
        <v>68025</v>
      </c>
      <c r="F199" s="43" t="s">
        <v>68</v>
      </c>
      <c r="G199" s="40" t="s">
        <v>21</v>
      </c>
      <c r="H199" s="37" t="s">
        <v>34</v>
      </c>
      <c r="I199" s="31">
        <v>19.459999999999997</v>
      </c>
      <c r="J199" s="27">
        <v>7</v>
      </c>
      <c r="K199" s="34">
        <v>5.0595999999999997</v>
      </c>
    </row>
    <row r="200" spans="1:11" ht="15" thickBot="1" x14ac:dyDescent="0.35">
      <c r="A200" s="25">
        <v>23</v>
      </c>
      <c r="B200" s="8">
        <v>42717</v>
      </c>
      <c r="C200" s="44" t="s">
        <v>66</v>
      </c>
      <c r="D200" s="38" t="s">
        <v>67</v>
      </c>
      <c r="E200" s="28">
        <v>68025</v>
      </c>
      <c r="F200" s="44" t="s">
        <v>69</v>
      </c>
      <c r="G200" s="41" t="s">
        <v>21</v>
      </c>
      <c r="H200" s="38" t="s">
        <v>41</v>
      </c>
      <c r="I200" s="32">
        <v>60.339999999999996</v>
      </c>
      <c r="J200" s="28">
        <v>7</v>
      </c>
      <c r="K200" s="35">
        <v>15.688400000000001</v>
      </c>
    </row>
    <row r="201" spans="1:11" ht="26.4" thickBot="1" x14ac:dyDescent="0.55000000000000004">
      <c r="A201" s="47" t="s">
        <v>97</v>
      </c>
      <c r="B201" s="47"/>
      <c r="C201" s="47"/>
      <c r="D201" s="47"/>
      <c r="E201" s="47"/>
      <c r="F201" s="47"/>
      <c r="G201" s="47"/>
      <c r="H201" s="47"/>
      <c r="I201" s="47"/>
      <c r="J201" s="47"/>
      <c r="K201" s="47"/>
    </row>
    <row r="202" spans="1:11" ht="21.6" thickBot="1" x14ac:dyDescent="0.45">
      <c r="A202" s="23" t="s">
        <v>0</v>
      </c>
      <c r="B202" s="45" t="s">
        <v>1</v>
      </c>
      <c r="C202" s="46" t="s">
        <v>2</v>
      </c>
      <c r="D202" s="36" t="s">
        <v>3</v>
      </c>
      <c r="E202" s="26" t="s">
        <v>4</v>
      </c>
      <c r="F202" s="42" t="s">
        <v>5</v>
      </c>
      <c r="G202" s="39" t="s">
        <v>6</v>
      </c>
      <c r="H202" s="36" t="s">
        <v>7</v>
      </c>
      <c r="I202" s="30" t="s">
        <v>8</v>
      </c>
      <c r="J202" s="26" t="s">
        <v>88</v>
      </c>
      <c r="K202" s="33" t="s">
        <v>10</v>
      </c>
    </row>
    <row r="203" spans="1:11" x14ac:dyDescent="0.3">
      <c r="A203" s="24">
        <v>1</v>
      </c>
      <c r="B203" s="5">
        <v>42685</v>
      </c>
      <c r="C203" s="43" t="s">
        <v>11</v>
      </c>
      <c r="D203" s="37" t="s">
        <v>12</v>
      </c>
      <c r="E203" s="27">
        <v>42420</v>
      </c>
      <c r="F203" s="43" t="s">
        <v>13</v>
      </c>
      <c r="G203" s="40" t="s">
        <v>14</v>
      </c>
      <c r="H203" s="37" t="s">
        <v>15</v>
      </c>
      <c r="I203" s="31">
        <v>261.95999999999998</v>
      </c>
      <c r="J203" s="27">
        <v>2</v>
      </c>
      <c r="K203" s="34">
        <v>41.913600000000002</v>
      </c>
    </row>
    <row r="204" spans="1:11" x14ac:dyDescent="0.3">
      <c r="A204" s="24">
        <v>2</v>
      </c>
      <c r="B204" s="5">
        <v>42685</v>
      </c>
      <c r="C204" s="43" t="s">
        <v>11</v>
      </c>
      <c r="D204" s="37" t="s">
        <v>12</v>
      </c>
      <c r="E204" s="27">
        <v>42420</v>
      </c>
      <c r="F204" s="43" t="s">
        <v>16</v>
      </c>
      <c r="G204" s="40" t="s">
        <v>14</v>
      </c>
      <c r="H204" s="37" t="s">
        <v>17</v>
      </c>
      <c r="I204" s="31">
        <v>731.93999999999994</v>
      </c>
      <c r="J204" s="27">
        <v>3</v>
      </c>
      <c r="K204" s="34">
        <v>219.58199999999997</v>
      </c>
    </row>
    <row r="205" spans="1:11" x14ac:dyDescent="0.3">
      <c r="A205" s="24">
        <v>3</v>
      </c>
      <c r="B205" s="5">
        <v>42537</v>
      </c>
      <c r="C205" s="43" t="s">
        <v>18</v>
      </c>
      <c r="D205" s="37" t="s">
        <v>19</v>
      </c>
      <c r="E205" s="27">
        <v>90036</v>
      </c>
      <c r="F205" s="43" t="s">
        <v>20</v>
      </c>
      <c r="G205" s="40" t="s">
        <v>21</v>
      </c>
      <c r="H205" s="37" t="s">
        <v>22</v>
      </c>
      <c r="I205" s="31">
        <v>14.62</v>
      </c>
      <c r="J205" s="27">
        <v>2</v>
      </c>
      <c r="K205" s="34">
        <v>6.8713999999999995</v>
      </c>
    </row>
    <row r="206" spans="1:11" x14ac:dyDescent="0.3">
      <c r="A206" s="24">
        <v>4</v>
      </c>
      <c r="B206" s="5">
        <v>42295</v>
      </c>
      <c r="C206" s="43" t="s">
        <v>23</v>
      </c>
      <c r="D206" s="37" t="s">
        <v>24</v>
      </c>
      <c r="E206" s="27">
        <v>33311</v>
      </c>
      <c r="F206" s="43" t="s">
        <v>25</v>
      </c>
      <c r="G206" s="40" t="s">
        <v>14</v>
      </c>
      <c r="H206" s="37" t="s">
        <v>26</v>
      </c>
      <c r="I206" s="31">
        <v>957.57749999999999</v>
      </c>
      <c r="J206" s="27">
        <v>5</v>
      </c>
      <c r="K206" s="34">
        <v>-383.03100000000006</v>
      </c>
    </row>
    <row r="207" spans="1:11" x14ac:dyDescent="0.3">
      <c r="A207" s="24">
        <v>5</v>
      </c>
      <c r="B207" s="5">
        <v>42295</v>
      </c>
      <c r="C207" s="43" t="s">
        <v>23</v>
      </c>
      <c r="D207" s="37" t="s">
        <v>24</v>
      </c>
      <c r="E207" s="27">
        <v>33311</v>
      </c>
      <c r="F207" s="43" t="s">
        <v>27</v>
      </c>
      <c r="G207" s="40" t="s">
        <v>21</v>
      </c>
      <c r="H207" s="37" t="s">
        <v>28</v>
      </c>
      <c r="I207" s="31">
        <v>22.368000000000002</v>
      </c>
      <c r="J207" s="27">
        <v>2</v>
      </c>
      <c r="K207" s="34">
        <v>2.5163999999999991</v>
      </c>
    </row>
    <row r="208" spans="1:11" x14ac:dyDescent="0.3">
      <c r="A208" s="24">
        <v>6</v>
      </c>
      <c r="B208" s="5">
        <v>41804</v>
      </c>
      <c r="C208" s="43" t="s">
        <v>29</v>
      </c>
      <c r="D208" s="37" t="s">
        <v>30</v>
      </c>
      <c r="E208" s="27">
        <v>90032</v>
      </c>
      <c r="F208" s="43" t="s">
        <v>31</v>
      </c>
      <c r="G208" s="40" t="s">
        <v>14</v>
      </c>
      <c r="H208" s="37" t="s">
        <v>32</v>
      </c>
      <c r="I208" s="31">
        <v>48.86</v>
      </c>
      <c r="J208" s="27">
        <v>7</v>
      </c>
      <c r="K208" s="34">
        <v>14.169399999999996</v>
      </c>
    </row>
    <row r="209" spans="1:11" x14ac:dyDescent="0.3">
      <c r="A209" s="24">
        <v>7</v>
      </c>
      <c r="B209" s="5">
        <v>41804</v>
      </c>
      <c r="C209" s="43" t="s">
        <v>29</v>
      </c>
      <c r="D209" s="37" t="s">
        <v>30</v>
      </c>
      <c r="E209" s="27">
        <v>90032</v>
      </c>
      <c r="F209" s="43" t="s">
        <v>33</v>
      </c>
      <c r="G209" s="40" t="s">
        <v>21</v>
      </c>
      <c r="H209" s="37" t="s">
        <v>34</v>
      </c>
      <c r="I209" s="31">
        <v>7.28</v>
      </c>
      <c r="J209" s="27">
        <v>4</v>
      </c>
      <c r="K209" s="34">
        <v>1.9656000000000002</v>
      </c>
    </row>
    <row r="210" spans="1:11" x14ac:dyDescent="0.3">
      <c r="A210" s="24">
        <v>8</v>
      </c>
      <c r="B210" s="5">
        <v>41804</v>
      </c>
      <c r="C210" s="43" t="s">
        <v>29</v>
      </c>
      <c r="D210" s="37" t="s">
        <v>30</v>
      </c>
      <c r="E210" s="27">
        <v>90032</v>
      </c>
      <c r="F210" s="43" t="s">
        <v>35</v>
      </c>
      <c r="G210" s="40" t="s">
        <v>36</v>
      </c>
      <c r="H210" s="37" t="s">
        <v>37</v>
      </c>
      <c r="I210" s="31">
        <v>907.15200000000004</v>
      </c>
      <c r="J210" s="27">
        <v>6</v>
      </c>
      <c r="K210" s="34">
        <v>90.715200000000038</v>
      </c>
    </row>
    <row r="211" spans="1:11" x14ac:dyDescent="0.3">
      <c r="A211" s="24">
        <v>9</v>
      </c>
      <c r="B211" s="5">
        <v>41804</v>
      </c>
      <c r="C211" s="43" t="s">
        <v>29</v>
      </c>
      <c r="D211" s="37" t="s">
        <v>30</v>
      </c>
      <c r="E211" s="27">
        <v>90032</v>
      </c>
      <c r="F211" s="43" t="s">
        <v>38</v>
      </c>
      <c r="G211" s="40" t="s">
        <v>21</v>
      </c>
      <c r="H211" s="37" t="s">
        <v>39</v>
      </c>
      <c r="I211" s="31">
        <v>18.504000000000001</v>
      </c>
      <c r="J211" s="27">
        <v>3</v>
      </c>
      <c r="K211" s="34">
        <v>5.7824999999999998</v>
      </c>
    </row>
    <row r="212" spans="1:11" x14ac:dyDescent="0.3">
      <c r="A212" s="24">
        <v>10</v>
      </c>
      <c r="B212" s="5">
        <v>41804</v>
      </c>
      <c r="C212" s="43" t="s">
        <v>29</v>
      </c>
      <c r="D212" s="37" t="s">
        <v>30</v>
      </c>
      <c r="E212" s="27">
        <v>90032</v>
      </c>
      <c r="F212" s="43" t="s">
        <v>40</v>
      </c>
      <c r="G212" s="40" t="s">
        <v>21</v>
      </c>
      <c r="H212" s="37" t="s">
        <v>41</v>
      </c>
      <c r="I212" s="31">
        <v>114.9</v>
      </c>
      <c r="J212" s="27">
        <v>5</v>
      </c>
      <c r="K212" s="34">
        <v>34.469999999999992</v>
      </c>
    </row>
    <row r="213" spans="1:11" x14ac:dyDescent="0.3">
      <c r="A213" s="24">
        <v>11</v>
      </c>
      <c r="B213" s="5">
        <v>41804</v>
      </c>
      <c r="C213" s="43" t="s">
        <v>29</v>
      </c>
      <c r="D213" s="37" t="s">
        <v>30</v>
      </c>
      <c r="E213" s="27">
        <v>90032</v>
      </c>
      <c r="F213" s="43" t="s">
        <v>42</v>
      </c>
      <c r="G213" s="40" t="s">
        <v>14</v>
      </c>
      <c r="H213" s="37" t="s">
        <v>26</v>
      </c>
      <c r="I213" s="31">
        <v>1706.1840000000002</v>
      </c>
      <c r="J213" s="27">
        <v>9</v>
      </c>
      <c r="K213" s="34">
        <v>85.309199999999805</v>
      </c>
    </row>
    <row r="214" spans="1:11" x14ac:dyDescent="0.3">
      <c r="A214" s="24">
        <v>12</v>
      </c>
      <c r="B214" s="5">
        <v>41804</v>
      </c>
      <c r="C214" s="43" t="s">
        <v>29</v>
      </c>
      <c r="D214" s="37" t="s">
        <v>30</v>
      </c>
      <c r="E214" s="27">
        <v>90032</v>
      </c>
      <c r="F214" s="43" t="s">
        <v>43</v>
      </c>
      <c r="G214" s="40" t="s">
        <v>36</v>
      </c>
      <c r="H214" s="37" t="s">
        <v>37</v>
      </c>
      <c r="I214" s="31">
        <v>911.42399999999998</v>
      </c>
      <c r="J214" s="27">
        <v>4</v>
      </c>
      <c r="K214" s="34">
        <v>68.356800000000021</v>
      </c>
    </row>
    <row r="215" spans="1:11" x14ac:dyDescent="0.3">
      <c r="A215" s="24">
        <v>13</v>
      </c>
      <c r="B215" s="5">
        <v>42845</v>
      </c>
      <c r="C215" s="43" t="s">
        <v>44</v>
      </c>
      <c r="D215" s="37" t="s">
        <v>45</v>
      </c>
      <c r="E215" s="27">
        <v>28027</v>
      </c>
      <c r="F215" s="43" t="s">
        <v>46</v>
      </c>
      <c r="G215" s="40" t="s">
        <v>21</v>
      </c>
      <c r="H215" s="37" t="s">
        <v>47</v>
      </c>
      <c r="I215" s="31">
        <v>15.552000000000003</v>
      </c>
      <c r="J215" s="27">
        <v>3</v>
      </c>
      <c r="K215" s="34">
        <v>5.4432</v>
      </c>
    </row>
    <row r="216" spans="1:11" x14ac:dyDescent="0.3">
      <c r="A216" s="24">
        <v>14</v>
      </c>
      <c r="B216" s="5">
        <v>42714</v>
      </c>
      <c r="C216" s="43" t="s">
        <v>48</v>
      </c>
      <c r="D216" s="37" t="s">
        <v>49</v>
      </c>
      <c r="E216" s="27">
        <v>98103</v>
      </c>
      <c r="F216" s="43" t="s">
        <v>50</v>
      </c>
      <c r="G216" s="40" t="s">
        <v>21</v>
      </c>
      <c r="H216" s="37" t="s">
        <v>39</v>
      </c>
      <c r="I216" s="31">
        <v>407.97600000000006</v>
      </c>
      <c r="J216" s="27">
        <v>3</v>
      </c>
      <c r="K216" s="34">
        <v>132.59219999999993</v>
      </c>
    </row>
    <row r="217" spans="1:11" x14ac:dyDescent="0.3">
      <c r="A217" s="24">
        <v>15</v>
      </c>
      <c r="B217" s="5">
        <v>42334</v>
      </c>
      <c r="C217" s="43" t="s">
        <v>51</v>
      </c>
      <c r="D217" s="37" t="s">
        <v>52</v>
      </c>
      <c r="E217" s="27">
        <v>76106</v>
      </c>
      <c r="F217" s="43" t="s">
        <v>53</v>
      </c>
      <c r="G217" s="40" t="s">
        <v>21</v>
      </c>
      <c r="H217" s="37" t="s">
        <v>41</v>
      </c>
      <c r="I217" s="31">
        <v>68.809999999999988</v>
      </c>
      <c r="J217" s="27">
        <v>5</v>
      </c>
      <c r="K217" s="34">
        <v>-123.858</v>
      </c>
    </row>
    <row r="218" spans="1:11" x14ac:dyDescent="0.3">
      <c r="A218" s="24">
        <v>16</v>
      </c>
      <c r="B218" s="5">
        <v>42334</v>
      </c>
      <c r="C218" s="43" t="s">
        <v>51</v>
      </c>
      <c r="D218" s="37" t="s">
        <v>52</v>
      </c>
      <c r="E218" s="27">
        <v>76106</v>
      </c>
      <c r="F218" s="43" t="s">
        <v>54</v>
      </c>
      <c r="G218" s="40" t="s">
        <v>21</v>
      </c>
      <c r="H218" s="37" t="s">
        <v>39</v>
      </c>
      <c r="I218" s="31">
        <v>2.5439999999999996</v>
      </c>
      <c r="J218" s="27">
        <v>3</v>
      </c>
      <c r="K218" s="34">
        <v>-3.8160000000000016</v>
      </c>
    </row>
    <row r="219" spans="1:11" x14ac:dyDescent="0.3">
      <c r="A219" s="24">
        <v>17</v>
      </c>
      <c r="B219" s="5">
        <v>41961</v>
      </c>
      <c r="C219" s="43" t="s">
        <v>55</v>
      </c>
      <c r="D219" s="37" t="s">
        <v>56</v>
      </c>
      <c r="E219" s="27">
        <v>53711</v>
      </c>
      <c r="F219" s="43" t="s">
        <v>57</v>
      </c>
      <c r="G219" s="40" t="s">
        <v>21</v>
      </c>
      <c r="H219" s="37" t="s">
        <v>28</v>
      </c>
      <c r="I219" s="31">
        <v>665.88</v>
      </c>
      <c r="J219" s="27">
        <v>6</v>
      </c>
      <c r="K219" s="34">
        <v>13.317599999999999</v>
      </c>
    </row>
    <row r="220" spans="1:11" x14ac:dyDescent="0.3">
      <c r="A220" s="24">
        <v>18</v>
      </c>
      <c r="B220" s="5">
        <v>41774</v>
      </c>
      <c r="C220" s="43" t="s">
        <v>58</v>
      </c>
      <c r="D220" s="37" t="s">
        <v>59</v>
      </c>
      <c r="E220" s="27">
        <v>84084</v>
      </c>
      <c r="F220" s="43" t="s">
        <v>60</v>
      </c>
      <c r="G220" s="40" t="s">
        <v>21</v>
      </c>
      <c r="H220" s="37" t="s">
        <v>28</v>
      </c>
      <c r="I220" s="31">
        <v>55.5</v>
      </c>
      <c r="J220" s="27">
        <v>2</v>
      </c>
      <c r="K220" s="34">
        <v>9.9899999999999949</v>
      </c>
    </row>
    <row r="221" spans="1:11" x14ac:dyDescent="0.3">
      <c r="A221" s="24">
        <v>19</v>
      </c>
      <c r="B221" s="5">
        <v>41883</v>
      </c>
      <c r="C221" s="43" t="s">
        <v>61</v>
      </c>
      <c r="D221" s="37" t="s">
        <v>62</v>
      </c>
      <c r="E221" s="27">
        <v>94109</v>
      </c>
      <c r="F221" s="43" t="s">
        <v>63</v>
      </c>
      <c r="G221" s="40" t="s">
        <v>21</v>
      </c>
      <c r="H221" s="37" t="s">
        <v>34</v>
      </c>
      <c r="I221" s="31">
        <v>8.56</v>
      </c>
      <c r="J221" s="27">
        <v>2</v>
      </c>
      <c r="K221" s="34">
        <v>2.4823999999999993</v>
      </c>
    </row>
    <row r="222" spans="1:11" x14ac:dyDescent="0.3">
      <c r="A222" s="24">
        <v>20</v>
      </c>
      <c r="B222" s="5">
        <v>41883</v>
      </c>
      <c r="C222" s="43" t="s">
        <v>61</v>
      </c>
      <c r="D222" s="37" t="s">
        <v>62</v>
      </c>
      <c r="E222" s="27">
        <v>94109</v>
      </c>
      <c r="F222" s="43" t="s">
        <v>64</v>
      </c>
      <c r="G222" s="40" t="s">
        <v>36</v>
      </c>
      <c r="H222" s="37" t="s">
        <v>37</v>
      </c>
      <c r="I222" s="31">
        <v>213.48000000000002</v>
      </c>
      <c r="J222" s="27">
        <v>3</v>
      </c>
      <c r="K222" s="34">
        <v>16.010999999999981</v>
      </c>
    </row>
    <row r="223" spans="1:11" x14ac:dyDescent="0.3">
      <c r="A223" s="24">
        <v>21</v>
      </c>
      <c r="B223" s="5">
        <v>41883</v>
      </c>
      <c r="C223" s="43" t="s">
        <v>61</v>
      </c>
      <c r="D223" s="37" t="s">
        <v>62</v>
      </c>
      <c r="E223" s="27">
        <v>94109</v>
      </c>
      <c r="F223" s="43" t="s">
        <v>65</v>
      </c>
      <c r="G223" s="40" t="s">
        <v>21</v>
      </c>
      <c r="H223" s="37" t="s">
        <v>39</v>
      </c>
      <c r="I223" s="31">
        <v>22.72</v>
      </c>
      <c r="J223" s="27">
        <v>4</v>
      </c>
      <c r="K223" s="34">
        <v>7.3839999999999986</v>
      </c>
    </row>
    <row r="224" spans="1:11" x14ac:dyDescent="0.3">
      <c r="A224" s="24">
        <v>22</v>
      </c>
      <c r="B224" s="5">
        <v>42717</v>
      </c>
      <c r="C224" s="43" t="s">
        <v>66</v>
      </c>
      <c r="D224" s="37" t="s">
        <v>67</v>
      </c>
      <c r="E224" s="27">
        <v>68025</v>
      </c>
      <c r="F224" s="43" t="s">
        <v>68</v>
      </c>
      <c r="G224" s="40" t="s">
        <v>21</v>
      </c>
      <c r="H224" s="37" t="s">
        <v>34</v>
      </c>
      <c r="I224" s="31">
        <v>19.459999999999997</v>
      </c>
      <c r="J224" s="27">
        <v>7</v>
      </c>
      <c r="K224" s="34">
        <v>5.0595999999999997</v>
      </c>
    </row>
    <row r="225" spans="1:11" ht="15" thickBot="1" x14ac:dyDescent="0.35">
      <c r="A225" s="25">
        <v>23</v>
      </c>
      <c r="B225" s="8">
        <v>42717</v>
      </c>
      <c r="C225" s="44" t="s">
        <v>66</v>
      </c>
      <c r="D225" s="38" t="s">
        <v>67</v>
      </c>
      <c r="E225" s="28">
        <v>68025</v>
      </c>
      <c r="F225" s="44" t="s">
        <v>69</v>
      </c>
      <c r="G225" s="41" t="s">
        <v>21</v>
      </c>
      <c r="H225" s="38" t="s">
        <v>41</v>
      </c>
      <c r="I225" s="32">
        <v>60.339999999999996</v>
      </c>
      <c r="J225" s="28">
        <v>7</v>
      </c>
      <c r="K225" s="35">
        <v>15.688400000000001</v>
      </c>
    </row>
    <row r="226" spans="1:11" ht="26.4" thickBot="1" x14ac:dyDescent="0.55000000000000004">
      <c r="A226" s="47" t="s">
        <v>98</v>
      </c>
      <c r="B226" s="47"/>
      <c r="C226" s="47"/>
      <c r="D226" s="47"/>
      <c r="E226" s="47"/>
      <c r="F226" s="47"/>
      <c r="G226" s="47"/>
      <c r="H226" s="47"/>
      <c r="I226" s="47"/>
      <c r="J226" s="47"/>
      <c r="K226" s="47"/>
    </row>
    <row r="227" spans="1:11" ht="21.6" thickBot="1" x14ac:dyDescent="0.45">
      <c r="A227" s="23" t="s">
        <v>0</v>
      </c>
      <c r="B227" s="45" t="s">
        <v>1</v>
      </c>
      <c r="C227" s="46" t="s">
        <v>2</v>
      </c>
      <c r="D227" s="36" t="s">
        <v>3</v>
      </c>
      <c r="E227" s="26" t="s">
        <v>4</v>
      </c>
      <c r="F227" s="42" t="s">
        <v>5</v>
      </c>
      <c r="G227" s="39" t="s">
        <v>6</v>
      </c>
      <c r="H227" s="36" t="s">
        <v>7</v>
      </c>
      <c r="I227" s="30" t="s">
        <v>8</v>
      </c>
      <c r="J227" s="26" t="s">
        <v>88</v>
      </c>
      <c r="K227" s="33" t="s">
        <v>10</v>
      </c>
    </row>
    <row r="228" spans="1:11" x14ac:dyDescent="0.3">
      <c r="A228" s="24">
        <v>1</v>
      </c>
      <c r="B228" s="5">
        <v>42685</v>
      </c>
      <c r="C228" s="43" t="s">
        <v>11</v>
      </c>
      <c r="D228" s="37" t="s">
        <v>12</v>
      </c>
      <c r="E228" s="27">
        <v>42420</v>
      </c>
      <c r="F228" s="43" t="s">
        <v>13</v>
      </c>
      <c r="G228" s="40" t="s">
        <v>14</v>
      </c>
      <c r="H228" s="37" t="s">
        <v>15</v>
      </c>
      <c r="I228" s="31">
        <v>261.95999999999998</v>
      </c>
      <c r="J228" s="27">
        <v>2</v>
      </c>
      <c r="K228" s="34">
        <v>41.913600000000002</v>
      </c>
    </row>
    <row r="229" spans="1:11" x14ac:dyDescent="0.3">
      <c r="A229" s="24">
        <v>2</v>
      </c>
      <c r="B229" s="5">
        <v>42685</v>
      </c>
      <c r="C229" s="43" t="s">
        <v>11</v>
      </c>
      <c r="D229" s="37" t="s">
        <v>12</v>
      </c>
      <c r="E229" s="27">
        <v>42420</v>
      </c>
      <c r="F229" s="43" t="s">
        <v>16</v>
      </c>
      <c r="G229" s="40" t="s">
        <v>14</v>
      </c>
      <c r="H229" s="37" t="s">
        <v>17</v>
      </c>
      <c r="I229" s="31">
        <v>731.93999999999994</v>
      </c>
      <c r="J229" s="27">
        <v>3</v>
      </c>
      <c r="K229" s="34">
        <v>219.58199999999997</v>
      </c>
    </row>
    <row r="230" spans="1:11" x14ac:dyDescent="0.3">
      <c r="A230" s="24">
        <v>3</v>
      </c>
      <c r="B230" s="5">
        <v>42537</v>
      </c>
      <c r="C230" s="43" t="s">
        <v>18</v>
      </c>
      <c r="D230" s="37" t="s">
        <v>19</v>
      </c>
      <c r="E230" s="27">
        <v>90036</v>
      </c>
      <c r="F230" s="43" t="s">
        <v>20</v>
      </c>
      <c r="G230" s="40" t="s">
        <v>21</v>
      </c>
      <c r="H230" s="37" t="s">
        <v>22</v>
      </c>
      <c r="I230" s="31">
        <v>14.62</v>
      </c>
      <c r="J230" s="27">
        <v>2</v>
      </c>
      <c r="K230" s="34">
        <v>6.8713999999999995</v>
      </c>
    </row>
    <row r="231" spans="1:11" x14ac:dyDescent="0.3">
      <c r="A231" s="24">
        <v>4</v>
      </c>
      <c r="B231" s="5">
        <v>42295</v>
      </c>
      <c r="C231" s="43" t="s">
        <v>23</v>
      </c>
      <c r="D231" s="37" t="s">
        <v>24</v>
      </c>
      <c r="E231" s="27">
        <v>33311</v>
      </c>
      <c r="F231" s="43" t="s">
        <v>25</v>
      </c>
      <c r="G231" s="40" t="s">
        <v>14</v>
      </c>
      <c r="H231" s="37" t="s">
        <v>26</v>
      </c>
      <c r="I231" s="31">
        <v>957.57749999999999</v>
      </c>
      <c r="J231" s="27">
        <v>5</v>
      </c>
      <c r="K231" s="34">
        <v>-383.03100000000006</v>
      </c>
    </row>
    <row r="232" spans="1:11" x14ac:dyDescent="0.3">
      <c r="A232" s="24">
        <v>5</v>
      </c>
      <c r="B232" s="5">
        <v>42295</v>
      </c>
      <c r="C232" s="43" t="s">
        <v>23</v>
      </c>
      <c r="D232" s="37" t="s">
        <v>24</v>
      </c>
      <c r="E232" s="27">
        <v>33311</v>
      </c>
      <c r="F232" s="43" t="s">
        <v>27</v>
      </c>
      <c r="G232" s="40" t="s">
        <v>21</v>
      </c>
      <c r="H232" s="37" t="s">
        <v>28</v>
      </c>
      <c r="I232" s="31">
        <v>22.368000000000002</v>
      </c>
      <c r="J232" s="27">
        <v>2</v>
      </c>
      <c r="K232" s="34">
        <v>2.5163999999999991</v>
      </c>
    </row>
    <row r="233" spans="1:11" x14ac:dyDescent="0.3">
      <c r="A233" s="24">
        <v>6</v>
      </c>
      <c r="B233" s="5">
        <v>41804</v>
      </c>
      <c r="C233" s="43" t="s">
        <v>29</v>
      </c>
      <c r="D233" s="37" t="s">
        <v>30</v>
      </c>
      <c r="E233" s="27">
        <v>90032</v>
      </c>
      <c r="F233" s="43" t="s">
        <v>31</v>
      </c>
      <c r="G233" s="40" t="s">
        <v>14</v>
      </c>
      <c r="H233" s="37" t="s">
        <v>32</v>
      </c>
      <c r="I233" s="31">
        <v>48.86</v>
      </c>
      <c r="J233" s="27">
        <v>7</v>
      </c>
      <c r="K233" s="34">
        <v>14.169399999999996</v>
      </c>
    </row>
    <row r="234" spans="1:11" x14ac:dyDescent="0.3">
      <c r="A234" s="24">
        <v>7</v>
      </c>
      <c r="B234" s="5">
        <v>41804</v>
      </c>
      <c r="C234" s="43" t="s">
        <v>29</v>
      </c>
      <c r="D234" s="37" t="s">
        <v>30</v>
      </c>
      <c r="E234" s="27">
        <v>90032</v>
      </c>
      <c r="F234" s="43" t="s">
        <v>33</v>
      </c>
      <c r="G234" s="40" t="s">
        <v>21</v>
      </c>
      <c r="H234" s="37" t="s">
        <v>34</v>
      </c>
      <c r="I234" s="31">
        <v>7.28</v>
      </c>
      <c r="J234" s="27">
        <v>4</v>
      </c>
      <c r="K234" s="34">
        <v>1.9656000000000002</v>
      </c>
    </row>
    <row r="235" spans="1:11" x14ac:dyDescent="0.3">
      <c r="A235" s="24">
        <v>8</v>
      </c>
      <c r="B235" s="5">
        <v>41804</v>
      </c>
      <c r="C235" s="43" t="s">
        <v>29</v>
      </c>
      <c r="D235" s="37" t="s">
        <v>30</v>
      </c>
      <c r="E235" s="27">
        <v>90032</v>
      </c>
      <c r="F235" s="43" t="s">
        <v>35</v>
      </c>
      <c r="G235" s="40" t="s">
        <v>36</v>
      </c>
      <c r="H235" s="37" t="s">
        <v>37</v>
      </c>
      <c r="I235" s="31">
        <v>907.15200000000004</v>
      </c>
      <c r="J235" s="27">
        <v>6</v>
      </c>
      <c r="K235" s="34">
        <v>90.715200000000038</v>
      </c>
    </row>
    <row r="236" spans="1:11" x14ac:dyDescent="0.3">
      <c r="A236" s="24">
        <v>9</v>
      </c>
      <c r="B236" s="5">
        <v>41804</v>
      </c>
      <c r="C236" s="43" t="s">
        <v>29</v>
      </c>
      <c r="D236" s="37" t="s">
        <v>30</v>
      </c>
      <c r="E236" s="27">
        <v>90032</v>
      </c>
      <c r="F236" s="43" t="s">
        <v>38</v>
      </c>
      <c r="G236" s="40" t="s">
        <v>21</v>
      </c>
      <c r="H236" s="37" t="s">
        <v>39</v>
      </c>
      <c r="I236" s="31">
        <v>18.504000000000001</v>
      </c>
      <c r="J236" s="27">
        <v>3</v>
      </c>
      <c r="K236" s="34">
        <v>5.7824999999999998</v>
      </c>
    </row>
    <row r="237" spans="1:11" x14ac:dyDescent="0.3">
      <c r="A237" s="24">
        <v>10</v>
      </c>
      <c r="B237" s="5">
        <v>41804</v>
      </c>
      <c r="C237" s="43" t="s">
        <v>29</v>
      </c>
      <c r="D237" s="37" t="s">
        <v>30</v>
      </c>
      <c r="E237" s="27">
        <v>90032</v>
      </c>
      <c r="F237" s="43" t="s">
        <v>40</v>
      </c>
      <c r="G237" s="40" t="s">
        <v>21</v>
      </c>
      <c r="H237" s="37" t="s">
        <v>41</v>
      </c>
      <c r="I237" s="31">
        <v>114.9</v>
      </c>
      <c r="J237" s="27">
        <v>5</v>
      </c>
      <c r="K237" s="34">
        <v>34.469999999999992</v>
      </c>
    </row>
    <row r="238" spans="1:11" x14ac:dyDescent="0.3">
      <c r="A238" s="24">
        <v>11</v>
      </c>
      <c r="B238" s="5">
        <v>41804</v>
      </c>
      <c r="C238" s="43" t="s">
        <v>29</v>
      </c>
      <c r="D238" s="37" t="s">
        <v>30</v>
      </c>
      <c r="E238" s="27">
        <v>90032</v>
      </c>
      <c r="F238" s="43" t="s">
        <v>42</v>
      </c>
      <c r="G238" s="40" t="s">
        <v>14</v>
      </c>
      <c r="H238" s="37" t="s">
        <v>26</v>
      </c>
      <c r="I238" s="31">
        <v>1706.1840000000002</v>
      </c>
      <c r="J238" s="27">
        <v>9</v>
      </c>
      <c r="K238" s="34">
        <v>85.309199999999805</v>
      </c>
    </row>
    <row r="239" spans="1:11" x14ac:dyDescent="0.3">
      <c r="A239" s="24">
        <v>12</v>
      </c>
      <c r="B239" s="5">
        <v>41804</v>
      </c>
      <c r="C239" s="43" t="s">
        <v>29</v>
      </c>
      <c r="D239" s="37" t="s">
        <v>30</v>
      </c>
      <c r="E239" s="27">
        <v>90032</v>
      </c>
      <c r="F239" s="43" t="s">
        <v>43</v>
      </c>
      <c r="G239" s="40" t="s">
        <v>36</v>
      </c>
      <c r="H239" s="37" t="s">
        <v>37</v>
      </c>
      <c r="I239" s="31">
        <v>911.42399999999998</v>
      </c>
      <c r="J239" s="27">
        <v>4</v>
      </c>
      <c r="K239" s="34">
        <v>68.356800000000021</v>
      </c>
    </row>
    <row r="240" spans="1:11" x14ac:dyDescent="0.3">
      <c r="A240" s="24">
        <v>13</v>
      </c>
      <c r="B240" s="5">
        <v>42845</v>
      </c>
      <c r="C240" s="43" t="s">
        <v>44</v>
      </c>
      <c r="D240" s="37" t="s">
        <v>45</v>
      </c>
      <c r="E240" s="27">
        <v>28027</v>
      </c>
      <c r="F240" s="43" t="s">
        <v>46</v>
      </c>
      <c r="G240" s="40" t="s">
        <v>21</v>
      </c>
      <c r="H240" s="37" t="s">
        <v>47</v>
      </c>
      <c r="I240" s="31">
        <v>15.552000000000003</v>
      </c>
      <c r="J240" s="27">
        <v>3</v>
      </c>
      <c r="K240" s="34">
        <v>5.4432</v>
      </c>
    </row>
    <row r="241" spans="1:11" x14ac:dyDescent="0.3">
      <c r="A241" s="24">
        <v>14</v>
      </c>
      <c r="B241" s="5">
        <v>42714</v>
      </c>
      <c r="C241" s="43" t="s">
        <v>48</v>
      </c>
      <c r="D241" s="37" t="s">
        <v>49</v>
      </c>
      <c r="E241" s="27">
        <v>98103</v>
      </c>
      <c r="F241" s="43" t="s">
        <v>50</v>
      </c>
      <c r="G241" s="40" t="s">
        <v>21</v>
      </c>
      <c r="H241" s="37" t="s">
        <v>39</v>
      </c>
      <c r="I241" s="31">
        <v>407.97600000000006</v>
      </c>
      <c r="J241" s="27">
        <v>3</v>
      </c>
      <c r="K241" s="34">
        <v>132.59219999999993</v>
      </c>
    </row>
    <row r="242" spans="1:11" x14ac:dyDescent="0.3">
      <c r="A242" s="24">
        <v>15</v>
      </c>
      <c r="B242" s="5">
        <v>42334</v>
      </c>
      <c r="C242" s="43" t="s">
        <v>51</v>
      </c>
      <c r="D242" s="37" t="s">
        <v>52</v>
      </c>
      <c r="E242" s="27">
        <v>76106</v>
      </c>
      <c r="F242" s="43" t="s">
        <v>53</v>
      </c>
      <c r="G242" s="40" t="s">
        <v>21</v>
      </c>
      <c r="H242" s="37" t="s">
        <v>41</v>
      </c>
      <c r="I242" s="31">
        <v>68.809999999999988</v>
      </c>
      <c r="J242" s="27">
        <v>5</v>
      </c>
      <c r="K242" s="34">
        <v>-123.858</v>
      </c>
    </row>
    <row r="243" spans="1:11" x14ac:dyDescent="0.3">
      <c r="A243" s="24">
        <v>16</v>
      </c>
      <c r="B243" s="5">
        <v>42334</v>
      </c>
      <c r="C243" s="43" t="s">
        <v>51</v>
      </c>
      <c r="D243" s="37" t="s">
        <v>52</v>
      </c>
      <c r="E243" s="27">
        <v>76106</v>
      </c>
      <c r="F243" s="43" t="s">
        <v>54</v>
      </c>
      <c r="G243" s="40" t="s">
        <v>21</v>
      </c>
      <c r="H243" s="37" t="s">
        <v>39</v>
      </c>
      <c r="I243" s="31">
        <v>2.5439999999999996</v>
      </c>
      <c r="J243" s="27">
        <v>3</v>
      </c>
      <c r="K243" s="34">
        <v>-3.8160000000000016</v>
      </c>
    </row>
    <row r="244" spans="1:11" x14ac:dyDescent="0.3">
      <c r="A244" s="24">
        <v>17</v>
      </c>
      <c r="B244" s="5">
        <v>41961</v>
      </c>
      <c r="C244" s="43" t="s">
        <v>55</v>
      </c>
      <c r="D244" s="37" t="s">
        <v>56</v>
      </c>
      <c r="E244" s="27">
        <v>53711</v>
      </c>
      <c r="F244" s="43" t="s">
        <v>57</v>
      </c>
      <c r="G244" s="40" t="s">
        <v>21</v>
      </c>
      <c r="H244" s="37" t="s">
        <v>28</v>
      </c>
      <c r="I244" s="31">
        <v>665.88</v>
      </c>
      <c r="J244" s="27">
        <v>6</v>
      </c>
      <c r="K244" s="34">
        <v>13.317599999999999</v>
      </c>
    </row>
    <row r="245" spans="1:11" x14ac:dyDescent="0.3">
      <c r="A245" s="24">
        <v>18</v>
      </c>
      <c r="B245" s="5">
        <v>41774</v>
      </c>
      <c r="C245" s="43" t="s">
        <v>58</v>
      </c>
      <c r="D245" s="37" t="s">
        <v>59</v>
      </c>
      <c r="E245" s="27">
        <v>84084</v>
      </c>
      <c r="F245" s="43" t="s">
        <v>60</v>
      </c>
      <c r="G245" s="40" t="s">
        <v>21</v>
      </c>
      <c r="H245" s="37" t="s">
        <v>28</v>
      </c>
      <c r="I245" s="31">
        <v>55.5</v>
      </c>
      <c r="J245" s="27">
        <v>2</v>
      </c>
      <c r="K245" s="34">
        <v>9.9899999999999949</v>
      </c>
    </row>
    <row r="246" spans="1:11" x14ac:dyDescent="0.3">
      <c r="A246" s="24">
        <v>19</v>
      </c>
      <c r="B246" s="5">
        <v>41883</v>
      </c>
      <c r="C246" s="43" t="s">
        <v>61</v>
      </c>
      <c r="D246" s="37" t="s">
        <v>62</v>
      </c>
      <c r="E246" s="27">
        <v>94109</v>
      </c>
      <c r="F246" s="43" t="s">
        <v>63</v>
      </c>
      <c r="G246" s="40" t="s">
        <v>21</v>
      </c>
      <c r="H246" s="37" t="s">
        <v>34</v>
      </c>
      <c r="I246" s="31">
        <v>8.56</v>
      </c>
      <c r="J246" s="27">
        <v>2</v>
      </c>
      <c r="K246" s="34">
        <v>2.4823999999999993</v>
      </c>
    </row>
    <row r="247" spans="1:11" x14ac:dyDescent="0.3">
      <c r="A247" s="24">
        <v>20</v>
      </c>
      <c r="B247" s="5">
        <v>41883</v>
      </c>
      <c r="C247" s="43" t="s">
        <v>61</v>
      </c>
      <c r="D247" s="37" t="s">
        <v>62</v>
      </c>
      <c r="E247" s="27">
        <v>94109</v>
      </c>
      <c r="F247" s="43" t="s">
        <v>64</v>
      </c>
      <c r="G247" s="40" t="s">
        <v>36</v>
      </c>
      <c r="H247" s="37" t="s">
        <v>37</v>
      </c>
      <c r="I247" s="31">
        <v>213.48000000000002</v>
      </c>
      <c r="J247" s="27">
        <v>3</v>
      </c>
      <c r="K247" s="34">
        <v>16.010999999999981</v>
      </c>
    </row>
    <row r="248" spans="1:11" x14ac:dyDescent="0.3">
      <c r="A248" s="24">
        <v>21</v>
      </c>
      <c r="B248" s="5">
        <v>41883</v>
      </c>
      <c r="C248" s="43" t="s">
        <v>61</v>
      </c>
      <c r="D248" s="37" t="s">
        <v>62</v>
      </c>
      <c r="E248" s="27">
        <v>94109</v>
      </c>
      <c r="F248" s="43" t="s">
        <v>65</v>
      </c>
      <c r="G248" s="40" t="s">
        <v>21</v>
      </c>
      <c r="H248" s="37" t="s">
        <v>39</v>
      </c>
      <c r="I248" s="31">
        <v>22.72</v>
      </c>
      <c r="J248" s="27">
        <v>4</v>
      </c>
      <c r="K248" s="34">
        <v>7.3839999999999986</v>
      </c>
    </row>
    <row r="249" spans="1:11" x14ac:dyDescent="0.3">
      <c r="A249" s="24">
        <v>22</v>
      </c>
      <c r="B249" s="5">
        <v>42717</v>
      </c>
      <c r="C249" s="43" t="s">
        <v>66</v>
      </c>
      <c r="D249" s="37" t="s">
        <v>67</v>
      </c>
      <c r="E249" s="27">
        <v>68025</v>
      </c>
      <c r="F249" s="43" t="s">
        <v>68</v>
      </c>
      <c r="G249" s="40" t="s">
        <v>21</v>
      </c>
      <c r="H249" s="37" t="s">
        <v>34</v>
      </c>
      <c r="I249" s="31">
        <v>19.459999999999997</v>
      </c>
      <c r="J249" s="27">
        <v>7</v>
      </c>
      <c r="K249" s="34">
        <v>5.0595999999999997</v>
      </c>
    </row>
    <row r="250" spans="1:11" ht="15" thickBot="1" x14ac:dyDescent="0.35">
      <c r="A250" s="25">
        <v>23</v>
      </c>
      <c r="B250" s="8">
        <v>42717</v>
      </c>
      <c r="C250" s="44" t="s">
        <v>66</v>
      </c>
      <c r="D250" s="38" t="s">
        <v>67</v>
      </c>
      <c r="E250" s="28">
        <v>68025</v>
      </c>
      <c r="F250" s="44" t="s">
        <v>69</v>
      </c>
      <c r="G250" s="41" t="s">
        <v>21</v>
      </c>
      <c r="H250" s="38" t="s">
        <v>41</v>
      </c>
      <c r="I250" s="32">
        <v>60.339999999999996</v>
      </c>
      <c r="J250" s="28">
        <v>7</v>
      </c>
      <c r="K250" s="35">
        <v>15.688400000000001</v>
      </c>
    </row>
  </sheetData>
  <dataConsolidate/>
  <mergeCells count="10">
    <mergeCell ref="A151:K151"/>
    <mergeCell ref="A176:K176"/>
    <mergeCell ref="A201:K201"/>
    <mergeCell ref="A226:K226"/>
    <mergeCell ref="A1:K1"/>
    <mergeCell ref="A26:K26"/>
    <mergeCell ref="A51:K51"/>
    <mergeCell ref="A76:K76"/>
    <mergeCell ref="A101:K101"/>
    <mergeCell ref="A126:K126"/>
  </mergeCells>
  <dataValidations count="7">
    <dataValidation type="textLength" allowBlank="1" showInputMessage="1" showErrorMessage="1" sqref="C127:D150 C227:C250 C152:C175 C177:C200 C202:C225 G127:G150" xr:uid="{9AF3A3F2-250E-4587-8D74-3F600077540F}">
      <formula1>5</formula1>
      <formula2>15</formula2>
    </dataValidation>
    <dataValidation type="textLength" errorStyle="warning" allowBlank="1" showInputMessage="1" showErrorMessage="1" error="PLEASE TRY AGAIN" sqref="D152:D175 D177:D200 D202:D225 D227:D250" xr:uid="{27B77C60-5C11-4A15-A0A5-15445FD2FE08}">
      <formula1>5</formula1>
      <formula2>15</formula2>
    </dataValidation>
    <dataValidation type="textLength" errorStyle="warning" allowBlank="1" showInputMessage="1" showErrorMessage="1" error=" PLEASE TRY AGAIN_x000a_" sqref="G177:G200 G202:G225 G227:G250 G152:G175" xr:uid="{1FF452F3-4897-4B02-B793-E2C65D26AD6A}">
      <formula1>5</formula1>
      <formula2>15</formula2>
    </dataValidation>
    <dataValidation type="date" allowBlank="1" showInputMessage="1" showErrorMessage="1" sqref="B177:B200 B202:B225 B227:B250" xr:uid="{5E397FF1-2988-457E-871A-BAC811A7DD57}">
      <formula1>41974</formula1>
      <formula2>42735</formula2>
    </dataValidation>
    <dataValidation type="whole" allowBlank="1" showInputMessage="1" showErrorMessage="1" sqref="A27:A50" xr:uid="{96172052-5F0E-457B-912B-FD9D5E449E91}">
      <formula1>0</formula1>
      <formula2>1000000000000000</formula2>
    </dataValidation>
    <dataValidation type="whole" allowBlank="1" showInputMessage="1" showErrorMessage="1" prompt=" ENTER WHOLE NUMBER ONLY_x000a_" sqref="I202:I225 I227:I250" xr:uid="{36B7D27B-DCF6-4998-85D2-652764F8B780}">
      <formula1>0</formula1>
      <formula2>1E+121</formula2>
    </dataValidation>
    <dataValidation type="textLength" allowBlank="1" showInputMessage="1" showErrorMessage="1" sqref="H1:H1048576" xr:uid="{4C7FDBD6-18AB-4BA3-9A52-C1DA5C72935A}">
      <formula1>0</formula1>
      <formula2>15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0CAA-01B7-4040-8220-9DCD527266DB}">
  <dimension ref="A1:O18"/>
  <sheetViews>
    <sheetView topLeftCell="A4" workbookViewId="0">
      <selection activeCell="I24" sqref="I24"/>
    </sheetView>
  </sheetViews>
  <sheetFormatPr defaultRowHeight="14.4" x14ac:dyDescent="0.3"/>
  <cols>
    <col min="1" max="1" width="10.33203125" bestFit="1" customWidth="1"/>
    <col min="2" max="2" width="15.33203125" customWidth="1"/>
    <col min="3" max="3" width="23.88671875" customWidth="1"/>
    <col min="4" max="4" width="36.88671875" customWidth="1"/>
    <col min="5" max="5" width="37.109375" customWidth="1"/>
    <col min="6" max="6" width="13.77734375" customWidth="1"/>
  </cols>
  <sheetData>
    <row r="1" spans="1:15" ht="25.8" x14ac:dyDescent="0.5">
      <c r="A1" t="s">
        <v>99</v>
      </c>
      <c r="B1" t="s">
        <v>101</v>
      </c>
      <c r="C1" t="s">
        <v>102</v>
      </c>
      <c r="D1" t="s">
        <v>103</v>
      </c>
      <c r="E1" s="55" t="s">
        <v>104</v>
      </c>
      <c r="F1" s="49" t="s">
        <v>107</v>
      </c>
      <c r="G1" s="48" t="s">
        <v>106</v>
      </c>
      <c r="H1" s="48"/>
      <c r="I1" s="48"/>
      <c r="J1" s="48"/>
      <c r="K1" s="48"/>
      <c r="L1" s="48"/>
      <c r="M1" s="48"/>
      <c r="N1" s="48"/>
      <c r="O1" s="48"/>
    </row>
    <row r="2" spans="1:15" x14ac:dyDescent="0.3">
      <c r="A2" s="5">
        <v>45324</v>
      </c>
      <c r="B2" s="50">
        <v>10020</v>
      </c>
    </row>
    <row r="3" spans="1:15" x14ac:dyDescent="0.3">
      <c r="A3" s="5">
        <v>45353</v>
      </c>
      <c r="B3" s="50">
        <v>22001</v>
      </c>
    </row>
    <row r="4" spans="1:15" x14ac:dyDescent="0.3">
      <c r="A4" s="5">
        <v>45384</v>
      </c>
      <c r="B4" s="50">
        <v>30023</v>
      </c>
    </row>
    <row r="5" spans="1:15" x14ac:dyDescent="0.3">
      <c r="A5" s="5">
        <v>45414</v>
      </c>
      <c r="B5" s="50">
        <v>32001</v>
      </c>
    </row>
    <row r="6" spans="1:15" x14ac:dyDescent="0.3">
      <c r="A6" s="5">
        <v>45445</v>
      </c>
      <c r="B6" s="50">
        <v>35423</v>
      </c>
    </row>
    <row r="7" spans="1:15" x14ac:dyDescent="0.3">
      <c r="A7" s="5">
        <v>45475</v>
      </c>
      <c r="B7" s="50">
        <v>34534</v>
      </c>
    </row>
    <row r="8" spans="1:15" x14ac:dyDescent="0.3">
      <c r="A8" s="5">
        <v>45506</v>
      </c>
      <c r="B8" s="50">
        <v>23234</v>
      </c>
    </row>
    <row r="9" spans="1:15" x14ac:dyDescent="0.3">
      <c r="A9" s="5">
        <v>45537</v>
      </c>
      <c r="B9" s="50">
        <v>56788</v>
      </c>
    </row>
    <row r="10" spans="1:15" x14ac:dyDescent="0.3">
      <c r="A10" s="5">
        <v>45567</v>
      </c>
      <c r="B10" s="50">
        <v>56789</v>
      </c>
    </row>
    <row r="11" spans="1:15" x14ac:dyDescent="0.3">
      <c r="A11" s="5">
        <v>45598</v>
      </c>
      <c r="B11" s="50">
        <v>65789</v>
      </c>
    </row>
    <row r="12" spans="1:15" x14ac:dyDescent="0.3">
      <c r="A12" s="5">
        <v>45628</v>
      </c>
      <c r="B12" s="50">
        <v>67943</v>
      </c>
    </row>
    <row r="13" spans="1:15" x14ac:dyDescent="0.3">
      <c r="A13" s="5">
        <v>45659</v>
      </c>
      <c r="B13" s="50">
        <v>70898</v>
      </c>
    </row>
    <row r="14" spans="1:15" x14ac:dyDescent="0.3">
      <c r="A14" s="5">
        <v>45690</v>
      </c>
      <c r="B14" s="50">
        <v>34234</v>
      </c>
      <c r="C14" s="50">
        <v>34234</v>
      </c>
      <c r="D14" s="50">
        <v>34234</v>
      </c>
      <c r="E14" s="50">
        <v>34234</v>
      </c>
    </row>
    <row r="15" spans="1:15" x14ac:dyDescent="0.3">
      <c r="A15" s="5">
        <v>45718</v>
      </c>
      <c r="C15" s="50">
        <f>_xlfn.FORECAST.ETS(A15,$B$2:$B$14,$A$2:$A$14,1,1)</f>
        <v>66181.948517937504</v>
      </c>
      <c r="D15" s="50">
        <f>C15-_xlfn.FORECAST.ETS.CONFINT(A15,$B$2:$B$14,$A$2:$A$14,0.95,1,1)</f>
        <v>39126.292620501423</v>
      </c>
      <c r="E15" s="50">
        <f>C15+_xlfn.FORECAST.ETS.CONFINT(A15,$B$2:$B$14,$A$2:$A$14,0.95,1,1)</f>
        <v>93237.604415373586</v>
      </c>
    </row>
    <row r="16" spans="1:15" x14ac:dyDescent="0.3">
      <c r="A16" s="5">
        <v>45749</v>
      </c>
      <c r="C16" s="50">
        <f>_xlfn.FORECAST.ETS(A16,$B$2:$B$14,$A$2:$A$14,1,1)</f>
        <v>70091.952730737423</v>
      </c>
      <c r="D16" s="50">
        <f>C16-_xlfn.FORECAST.ETS.CONFINT(A16,$B$2:$B$14,$A$2:$A$14,0.95,1,1)</f>
        <v>42197.046662432891</v>
      </c>
      <c r="E16" s="50">
        <f>C16+_xlfn.FORECAST.ETS.CONFINT(A16,$B$2:$B$14,$A$2:$A$14,0.95,1,1)</f>
        <v>97986.858799041947</v>
      </c>
    </row>
    <row r="17" spans="1:5" x14ac:dyDescent="0.3">
      <c r="A17" s="5">
        <v>45779</v>
      </c>
      <c r="C17" s="50">
        <f>_xlfn.FORECAST.ETS(A17,$B$2:$B$14,$A$2:$A$14,1,1)</f>
        <v>74001.9569435374</v>
      </c>
      <c r="D17" s="50">
        <f>C17-_xlfn.FORECAST.ETS.CONFINT(A17,$B$2:$B$14,$A$2:$A$14,0.95,1,1)</f>
        <v>45285.911718573581</v>
      </c>
      <c r="E17" s="50">
        <f>C17+_xlfn.FORECAST.ETS.CONFINT(A17,$B$2:$B$14,$A$2:$A$14,0.95,1,1)</f>
        <v>102718.00216850122</v>
      </c>
    </row>
    <row r="18" spans="1:5" x14ac:dyDescent="0.3">
      <c r="A18" s="5">
        <v>45810</v>
      </c>
      <c r="C18" s="50">
        <f>_xlfn.FORECAST.ETS(A18,$B$2:$B$14,$A$2:$A$14,1,1)</f>
        <v>77911.961156337318</v>
      </c>
      <c r="D18" s="50">
        <f>C18-_xlfn.FORECAST.ETS.CONFINT(A18,$B$2:$B$14,$A$2:$A$14,0.95,1,1)</f>
        <v>48391.351635776919</v>
      </c>
      <c r="E18" s="50">
        <f>C18+_xlfn.FORECAST.ETS.CONFINT(A18,$B$2:$B$14,$A$2:$A$14,0.95,1,1)</f>
        <v>107432.57067689771</v>
      </c>
    </row>
  </sheetData>
  <mergeCells count="1">
    <mergeCell ref="G1:O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20F6-1ECE-4D88-882D-A715C67A0CB7}">
  <dimension ref="A1:P33"/>
  <sheetViews>
    <sheetView topLeftCell="D1" workbookViewId="0">
      <selection activeCell="C33" sqref="B19:C33"/>
    </sheetView>
  </sheetViews>
  <sheetFormatPr defaultRowHeight="14.4" x14ac:dyDescent="0.3"/>
  <cols>
    <col min="1" max="1" width="10.33203125" bestFit="1" customWidth="1"/>
    <col min="2" max="2" width="15.33203125" customWidth="1"/>
    <col min="3" max="3" width="23.88671875" customWidth="1"/>
    <col min="4" max="4" width="36.88671875" customWidth="1"/>
    <col min="5" max="5" width="37.109375" customWidth="1"/>
    <col min="13" max="13" width="17.33203125" customWidth="1"/>
    <col min="14" max="14" width="17.5546875" customWidth="1"/>
  </cols>
  <sheetData>
    <row r="1" spans="1:16" ht="25.8" x14ac:dyDescent="0.5">
      <c r="A1" t="s">
        <v>99</v>
      </c>
      <c r="B1" t="s">
        <v>101</v>
      </c>
      <c r="C1" t="s">
        <v>102</v>
      </c>
      <c r="D1" t="s">
        <v>103</v>
      </c>
      <c r="E1" t="s">
        <v>104</v>
      </c>
      <c r="F1" s="48" t="s">
        <v>105</v>
      </c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x14ac:dyDescent="0.3">
      <c r="A2" s="5">
        <v>45324</v>
      </c>
      <c r="B2" s="50">
        <v>10020</v>
      </c>
    </row>
    <row r="3" spans="1:16" x14ac:dyDescent="0.3">
      <c r="A3" s="5">
        <v>45353</v>
      </c>
      <c r="B3" s="50">
        <v>22001</v>
      </c>
    </row>
    <row r="4" spans="1:16" x14ac:dyDescent="0.3">
      <c r="A4" s="5">
        <v>45384</v>
      </c>
      <c r="B4" s="50">
        <v>30023</v>
      </c>
    </row>
    <row r="5" spans="1:16" x14ac:dyDescent="0.3">
      <c r="A5" s="5">
        <v>45414</v>
      </c>
      <c r="B5" s="50">
        <v>32001</v>
      </c>
    </row>
    <row r="6" spans="1:16" x14ac:dyDescent="0.3">
      <c r="A6" s="5">
        <v>45445</v>
      </c>
      <c r="B6" s="50">
        <v>35423</v>
      </c>
    </row>
    <row r="7" spans="1:16" x14ac:dyDescent="0.3">
      <c r="A7" s="5">
        <v>45475</v>
      </c>
      <c r="B7" s="50">
        <v>34534</v>
      </c>
    </row>
    <row r="8" spans="1:16" x14ac:dyDescent="0.3">
      <c r="A8" s="5">
        <v>45506</v>
      </c>
      <c r="B8" s="50">
        <v>23234</v>
      </c>
    </row>
    <row r="9" spans="1:16" x14ac:dyDescent="0.3">
      <c r="A9" s="5">
        <v>45537</v>
      </c>
      <c r="B9" s="50">
        <v>56788</v>
      </c>
    </row>
    <row r="10" spans="1:16" x14ac:dyDescent="0.3">
      <c r="A10" s="5">
        <v>45567</v>
      </c>
      <c r="B10" s="50">
        <v>56789</v>
      </c>
    </row>
    <row r="11" spans="1:16" x14ac:dyDescent="0.3">
      <c r="A11" s="5">
        <v>45598</v>
      </c>
      <c r="B11" s="50">
        <v>65789</v>
      </c>
    </row>
    <row r="12" spans="1:16" x14ac:dyDescent="0.3">
      <c r="A12" s="5">
        <v>45628</v>
      </c>
      <c r="B12" s="50">
        <v>67943</v>
      </c>
    </row>
    <row r="13" spans="1:16" x14ac:dyDescent="0.3">
      <c r="A13" s="5">
        <v>45659</v>
      </c>
      <c r="B13" s="50">
        <v>70898</v>
      </c>
    </row>
    <row r="14" spans="1:16" x14ac:dyDescent="0.3">
      <c r="A14" s="5">
        <v>45690</v>
      </c>
      <c r="B14" s="50">
        <v>34234</v>
      </c>
      <c r="C14" s="50">
        <v>34234</v>
      </c>
      <c r="D14" s="50">
        <v>34234</v>
      </c>
      <c r="E14" s="50">
        <v>34234</v>
      </c>
    </row>
    <row r="15" spans="1:16" x14ac:dyDescent="0.3">
      <c r="A15" s="5">
        <v>45718</v>
      </c>
      <c r="C15" s="50">
        <f>_xlfn.FORECAST.ETS(A15,$B$2:$B$14,$A$2:$A$14,1,1)</f>
        <v>66181.948517937504</v>
      </c>
      <c r="D15" s="50">
        <f>C15-_xlfn.FORECAST.ETS.CONFINT(A15,$B$2:$B$14,$A$2:$A$14,0.95,1,1)</f>
        <v>39126.292620501423</v>
      </c>
      <c r="E15" s="50">
        <f>C15+_xlfn.FORECAST.ETS.CONFINT(A15,$B$2:$B$14,$A$2:$A$14,0.95,1,1)</f>
        <v>93237.604415373586</v>
      </c>
    </row>
    <row r="16" spans="1:16" x14ac:dyDescent="0.3">
      <c r="A16" s="5">
        <v>45749</v>
      </c>
      <c r="C16" s="50">
        <f>_xlfn.FORECAST.ETS(A16,$B$2:$B$14,$A$2:$A$14,1,1)</f>
        <v>70091.952730737423</v>
      </c>
      <c r="D16" s="50">
        <f>C16-_xlfn.FORECAST.ETS.CONFINT(A16,$B$2:$B$14,$A$2:$A$14,0.95,1,1)</f>
        <v>42197.046662432891</v>
      </c>
      <c r="E16" s="50">
        <f>C16+_xlfn.FORECAST.ETS.CONFINT(A16,$B$2:$B$14,$A$2:$A$14,0.95,1,1)</f>
        <v>97986.858799041947</v>
      </c>
    </row>
    <row r="17" spans="1:5" x14ac:dyDescent="0.3">
      <c r="A17" s="5">
        <v>45779</v>
      </c>
      <c r="C17" s="50">
        <f>_xlfn.FORECAST.ETS(A17,$B$2:$B$14,$A$2:$A$14,1,1)</f>
        <v>74001.9569435374</v>
      </c>
      <c r="D17" s="50">
        <f>C17-_xlfn.FORECAST.ETS.CONFINT(A17,$B$2:$B$14,$A$2:$A$14,0.95,1,1)</f>
        <v>45285.911718573581</v>
      </c>
      <c r="E17" s="50">
        <f>C17+_xlfn.FORECAST.ETS.CONFINT(A17,$B$2:$B$14,$A$2:$A$14,0.95,1,1)</f>
        <v>102718.00216850122</v>
      </c>
    </row>
    <row r="18" spans="1:5" x14ac:dyDescent="0.3">
      <c r="A18" s="5">
        <v>45810</v>
      </c>
      <c r="C18" s="50">
        <f>_xlfn.FORECAST.ETS(A18,$B$2:$B$14,$A$2:$A$14,1,1)</f>
        <v>77911.961156337318</v>
      </c>
      <c r="D18" s="50">
        <f>C18-_xlfn.FORECAST.ETS.CONFINT(A18,$B$2:$B$14,$A$2:$A$14,0.95,1,1)</f>
        <v>48391.351635776919</v>
      </c>
      <c r="E18" s="50">
        <f>C18+_xlfn.FORECAST.ETS.CONFINT(A18,$B$2:$B$14,$A$2:$A$14,0.95,1,1)</f>
        <v>107432.57067689771</v>
      </c>
    </row>
    <row r="19" spans="1:5" ht="18" x14ac:dyDescent="0.35">
      <c r="B19" s="51" t="s">
        <v>99</v>
      </c>
      <c r="C19" s="52" t="s">
        <v>100</v>
      </c>
    </row>
    <row r="20" spans="1:5" x14ac:dyDescent="0.3">
      <c r="B20" s="53">
        <v>45324</v>
      </c>
      <c r="C20" s="54">
        <v>10020</v>
      </c>
    </row>
    <row r="21" spans="1:5" x14ac:dyDescent="0.3">
      <c r="B21" s="53">
        <v>45353</v>
      </c>
      <c r="C21" s="54">
        <v>22001</v>
      </c>
    </row>
    <row r="22" spans="1:5" x14ac:dyDescent="0.3">
      <c r="B22" s="53">
        <v>45384</v>
      </c>
      <c r="C22" s="54">
        <v>30023</v>
      </c>
    </row>
    <row r="23" spans="1:5" x14ac:dyDescent="0.3">
      <c r="B23" s="53">
        <v>45414</v>
      </c>
      <c r="C23" s="54">
        <v>32001</v>
      </c>
    </row>
    <row r="24" spans="1:5" x14ac:dyDescent="0.3">
      <c r="B24" s="53">
        <v>45445</v>
      </c>
      <c r="C24" s="54">
        <v>35423</v>
      </c>
    </row>
    <row r="25" spans="1:5" x14ac:dyDescent="0.3">
      <c r="B25" s="53">
        <v>45475</v>
      </c>
      <c r="C25" s="54">
        <v>34534</v>
      </c>
    </row>
    <row r="26" spans="1:5" x14ac:dyDescent="0.3">
      <c r="B26" s="53">
        <v>45506</v>
      </c>
      <c r="C26" s="54">
        <v>23234</v>
      </c>
    </row>
    <row r="27" spans="1:5" x14ac:dyDescent="0.3">
      <c r="B27" s="53">
        <v>45537</v>
      </c>
      <c r="C27" s="54">
        <v>56788</v>
      </c>
    </row>
    <row r="28" spans="1:5" x14ac:dyDescent="0.3">
      <c r="B28" s="53">
        <v>45567</v>
      </c>
      <c r="C28" s="54">
        <v>56789</v>
      </c>
    </row>
    <row r="29" spans="1:5" x14ac:dyDescent="0.3">
      <c r="B29" s="53">
        <v>45598</v>
      </c>
      <c r="C29" s="54">
        <v>65789</v>
      </c>
    </row>
    <row r="30" spans="1:5" x14ac:dyDescent="0.3">
      <c r="B30" s="53">
        <v>45628</v>
      </c>
      <c r="C30" s="54">
        <v>67943</v>
      </c>
    </row>
    <row r="31" spans="1:5" x14ac:dyDescent="0.3">
      <c r="B31" s="53">
        <v>45659</v>
      </c>
      <c r="C31" s="54">
        <v>70898</v>
      </c>
    </row>
    <row r="32" spans="1:5" x14ac:dyDescent="0.3">
      <c r="B32" s="53">
        <v>45690</v>
      </c>
      <c r="C32" s="54">
        <v>34234</v>
      </c>
    </row>
    <row r="33" spans="2:3" x14ac:dyDescent="0.3">
      <c r="B33" s="53">
        <v>45718</v>
      </c>
      <c r="C33" s="54"/>
    </row>
  </sheetData>
  <mergeCells count="1">
    <mergeCell ref="F1:P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B67E-39E9-4963-B29F-14CB25B39977}">
  <dimension ref="A1:O18"/>
  <sheetViews>
    <sheetView topLeftCell="D1" workbookViewId="0">
      <selection activeCell="L24" sqref="L24"/>
    </sheetView>
  </sheetViews>
  <sheetFormatPr defaultRowHeight="14.4" x14ac:dyDescent="0.3"/>
  <cols>
    <col min="1" max="1" width="10.33203125" bestFit="1" customWidth="1"/>
    <col min="2" max="2" width="15.33203125" customWidth="1"/>
    <col min="3" max="3" width="23.88671875" customWidth="1"/>
    <col min="4" max="4" width="36.88671875" customWidth="1"/>
    <col min="5" max="5" width="37.109375" customWidth="1"/>
  </cols>
  <sheetData>
    <row r="1" spans="1:15" ht="25.8" x14ac:dyDescent="0.5">
      <c r="A1" t="s">
        <v>99</v>
      </c>
      <c r="B1" t="s">
        <v>101</v>
      </c>
      <c r="C1" t="s">
        <v>102</v>
      </c>
      <c r="D1" t="s">
        <v>103</v>
      </c>
      <c r="E1" t="s">
        <v>104</v>
      </c>
      <c r="G1" s="56" t="s">
        <v>109</v>
      </c>
      <c r="H1" s="56"/>
      <c r="I1" s="56"/>
      <c r="J1" s="56"/>
      <c r="K1" s="56"/>
      <c r="L1" s="56"/>
      <c r="M1" s="56"/>
      <c r="N1" s="56"/>
      <c r="O1" s="56"/>
    </row>
    <row r="2" spans="1:15" x14ac:dyDescent="0.3">
      <c r="A2" s="5">
        <v>45324</v>
      </c>
      <c r="B2" s="50">
        <v>10020</v>
      </c>
    </row>
    <row r="3" spans="1:15" x14ac:dyDescent="0.3">
      <c r="A3" s="5">
        <v>45353</v>
      </c>
      <c r="B3" s="50">
        <v>22001</v>
      </c>
    </row>
    <row r="4" spans="1:15" x14ac:dyDescent="0.3">
      <c r="A4" s="5">
        <v>45384</v>
      </c>
      <c r="B4" s="50">
        <v>30023</v>
      </c>
    </row>
    <row r="5" spans="1:15" x14ac:dyDescent="0.3">
      <c r="A5" s="5">
        <v>45414</v>
      </c>
      <c r="B5" s="50">
        <v>32001</v>
      </c>
    </row>
    <row r="6" spans="1:15" x14ac:dyDescent="0.3">
      <c r="A6" s="5">
        <v>45445</v>
      </c>
      <c r="B6" s="50">
        <v>35423</v>
      </c>
    </row>
    <row r="7" spans="1:15" x14ac:dyDescent="0.3">
      <c r="A7" s="5">
        <v>45475</v>
      </c>
      <c r="B7" s="50">
        <v>34534</v>
      </c>
    </row>
    <row r="8" spans="1:15" x14ac:dyDescent="0.3">
      <c r="A8" s="5">
        <v>45506</v>
      </c>
      <c r="B8" s="50">
        <v>23234</v>
      </c>
    </row>
    <row r="9" spans="1:15" x14ac:dyDescent="0.3">
      <c r="A9" s="5">
        <v>45537</v>
      </c>
      <c r="B9" s="50">
        <v>56788</v>
      </c>
    </row>
    <row r="10" spans="1:15" x14ac:dyDescent="0.3">
      <c r="A10" s="5">
        <v>45567</v>
      </c>
      <c r="B10" s="50">
        <v>56789</v>
      </c>
    </row>
    <row r="11" spans="1:15" x14ac:dyDescent="0.3">
      <c r="A11" s="5">
        <v>45598</v>
      </c>
      <c r="B11" s="50">
        <v>65789</v>
      </c>
    </row>
    <row r="12" spans="1:15" x14ac:dyDescent="0.3">
      <c r="A12" s="5">
        <v>45628</v>
      </c>
      <c r="B12" s="50">
        <v>67943</v>
      </c>
    </row>
    <row r="13" spans="1:15" x14ac:dyDescent="0.3">
      <c r="A13" s="5">
        <v>45659</v>
      </c>
      <c r="B13" s="50">
        <v>70898</v>
      </c>
    </row>
    <row r="14" spans="1:15" x14ac:dyDescent="0.3">
      <c r="A14" s="5">
        <v>45690</v>
      </c>
      <c r="B14" s="50">
        <v>34234</v>
      </c>
      <c r="C14" s="50">
        <v>34234</v>
      </c>
      <c r="D14" s="50">
        <v>34234</v>
      </c>
      <c r="E14" s="50">
        <v>34234</v>
      </c>
    </row>
    <row r="15" spans="1:15" x14ac:dyDescent="0.3">
      <c r="A15" s="5">
        <v>45718</v>
      </c>
      <c r="C15" s="50">
        <f>_xlfn.FORECAST.ETS(A15,$B$2:$B$14,$A$2:$A$14,1,1)</f>
        <v>66181.948517937504</v>
      </c>
      <c r="D15" s="50">
        <f>C15-_xlfn.FORECAST.ETS.CONFINT(A15,$B$2:$B$14,$A$2:$A$14,0.95,1,1)</f>
        <v>39126.292620501423</v>
      </c>
      <c r="E15" s="50">
        <f>C15+_xlfn.FORECAST.ETS.CONFINT(A15,$B$2:$B$14,$A$2:$A$14,0.95,1,1)</f>
        <v>93237.604415373586</v>
      </c>
    </row>
    <row r="16" spans="1:15" x14ac:dyDescent="0.3">
      <c r="A16" s="5">
        <v>45749</v>
      </c>
      <c r="C16" s="50">
        <f>_xlfn.FORECAST.ETS(A16,$B$2:$B$14,$A$2:$A$14,1,1)</f>
        <v>70091.952730737423</v>
      </c>
      <c r="D16" s="50">
        <f>C16-_xlfn.FORECAST.ETS.CONFINT(A16,$B$2:$B$14,$A$2:$A$14,0.95,1,1)</f>
        <v>42197.046662432891</v>
      </c>
      <c r="E16" s="50">
        <f>C16+_xlfn.FORECAST.ETS.CONFINT(A16,$B$2:$B$14,$A$2:$A$14,0.95,1,1)</f>
        <v>97986.858799041947</v>
      </c>
    </row>
    <row r="17" spans="1:5" x14ac:dyDescent="0.3">
      <c r="A17" s="5">
        <v>45779</v>
      </c>
      <c r="C17" s="50">
        <f>_xlfn.FORECAST.ETS(A17,$B$2:$B$14,$A$2:$A$14,1,1)</f>
        <v>74001.9569435374</v>
      </c>
      <c r="D17" s="50">
        <f>C17-_xlfn.FORECAST.ETS.CONFINT(A17,$B$2:$B$14,$A$2:$A$14,0.95,1,1)</f>
        <v>45285.911718573581</v>
      </c>
      <c r="E17" s="50">
        <f>C17+_xlfn.FORECAST.ETS.CONFINT(A17,$B$2:$B$14,$A$2:$A$14,0.95,1,1)</f>
        <v>102718.00216850122</v>
      </c>
    </row>
    <row r="18" spans="1:5" x14ac:dyDescent="0.3">
      <c r="A18" s="5">
        <v>45810</v>
      </c>
      <c r="C18" s="50">
        <f>_xlfn.FORECAST.ETS(A18,$B$2:$B$14,$A$2:$A$14,1,1)</f>
        <v>77911.961156337318</v>
      </c>
      <c r="D18" s="50">
        <f>C18-_xlfn.FORECAST.ETS.CONFINT(A18,$B$2:$B$14,$A$2:$A$14,0.95,1,1)</f>
        <v>48391.351635776919</v>
      </c>
      <c r="E18" s="50">
        <f>C18+_xlfn.FORECAST.ETS.CONFINT(A18,$B$2:$B$14,$A$2:$A$14,0.95,1,1)</f>
        <v>107432.57067689771</v>
      </c>
    </row>
  </sheetData>
  <mergeCells count="1">
    <mergeCell ref="G1:O1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967F-346A-4EE0-9B53-359CBFECF264}">
  <dimension ref="A1:O35"/>
  <sheetViews>
    <sheetView topLeftCell="A7" zoomScale="75" workbookViewId="0">
      <selection activeCell="C4" sqref="C4"/>
    </sheetView>
  </sheetViews>
  <sheetFormatPr defaultRowHeight="14.4" x14ac:dyDescent="0.3"/>
  <cols>
    <col min="1" max="1" width="31" customWidth="1"/>
    <col min="2" max="2" width="21.77734375" customWidth="1"/>
    <col min="6" max="6" width="18.88671875" customWidth="1"/>
    <col min="7" max="7" width="34.109375" customWidth="1"/>
  </cols>
  <sheetData>
    <row r="1" spans="1:15" ht="25.8" x14ac:dyDescent="0.5">
      <c r="A1" s="57" t="s">
        <v>110</v>
      </c>
      <c r="B1" s="58"/>
      <c r="D1" s="63" t="s">
        <v>115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23.4" x14ac:dyDescent="0.45">
      <c r="A2" s="59"/>
      <c r="B2" s="59"/>
    </row>
    <row r="3" spans="1:15" ht="23.4" x14ac:dyDescent="0.45">
      <c r="A3" s="59" t="s">
        <v>111</v>
      </c>
      <c r="B3" s="60">
        <v>3.5000000000000003E-2</v>
      </c>
      <c r="F3" s="57" t="s">
        <v>110</v>
      </c>
      <c r="G3" s="58"/>
    </row>
    <row r="4" spans="1:15" ht="23.4" x14ac:dyDescent="0.45">
      <c r="A4" s="59" t="s">
        <v>112</v>
      </c>
      <c r="B4" s="59">
        <v>60</v>
      </c>
      <c r="F4" s="59"/>
      <c r="G4" s="59"/>
    </row>
    <row r="5" spans="1:15" ht="23.4" x14ac:dyDescent="0.45">
      <c r="A5" s="59" t="s">
        <v>113</v>
      </c>
      <c r="B5" s="61">
        <v>24000</v>
      </c>
      <c r="F5" s="59" t="s">
        <v>111</v>
      </c>
      <c r="G5" s="60">
        <v>9.1543019999274958E-2</v>
      </c>
    </row>
    <row r="6" spans="1:15" ht="23.4" x14ac:dyDescent="0.45">
      <c r="A6" s="59" t="s">
        <v>114</v>
      </c>
      <c r="B6" s="62">
        <f>PMT(B3/12,B4,-B5)</f>
        <v>436.60187928615358</v>
      </c>
      <c r="F6" s="59" t="s">
        <v>112</v>
      </c>
      <c r="G6" s="59">
        <v>60</v>
      </c>
    </row>
    <row r="7" spans="1:15" ht="23.4" x14ac:dyDescent="0.45">
      <c r="F7" s="59" t="s">
        <v>113</v>
      </c>
      <c r="G7" s="61">
        <v>24000</v>
      </c>
    </row>
    <row r="8" spans="1:15" ht="23.4" x14ac:dyDescent="0.45">
      <c r="F8" s="59" t="s">
        <v>114</v>
      </c>
      <c r="G8" s="62">
        <f>PMT(G5/12,G6,-G7)</f>
        <v>499.99975052728598</v>
      </c>
    </row>
    <row r="10" spans="1:15" ht="25.8" x14ac:dyDescent="0.5">
      <c r="D10" s="63" t="s">
        <v>116</v>
      </c>
      <c r="E10" s="63"/>
      <c r="F10" s="63"/>
      <c r="G10" s="63"/>
      <c r="H10" s="63"/>
      <c r="I10" s="63"/>
      <c r="J10" s="63"/>
    </row>
    <row r="12" spans="1:15" ht="23.4" x14ac:dyDescent="0.45">
      <c r="F12" s="57" t="s">
        <v>110</v>
      </c>
      <c r="G12" s="58"/>
    </row>
    <row r="13" spans="1:15" ht="23.4" x14ac:dyDescent="0.45">
      <c r="F13" s="59"/>
      <c r="G13" s="59"/>
    </row>
    <row r="14" spans="1:15" ht="23.4" x14ac:dyDescent="0.45">
      <c r="F14" s="59" t="s">
        <v>111</v>
      </c>
      <c r="G14" s="60">
        <v>0.17273734632719684</v>
      </c>
    </row>
    <row r="15" spans="1:15" ht="23.4" x14ac:dyDescent="0.45">
      <c r="F15" s="59" t="s">
        <v>112</v>
      </c>
      <c r="G15" s="59">
        <v>60</v>
      </c>
    </row>
    <row r="16" spans="1:15" ht="23.4" x14ac:dyDescent="0.45">
      <c r="F16" s="59" t="s">
        <v>113</v>
      </c>
      <c r="G16" s="61">
        <v>24000</v>
      </c>
    </row>
    <row r="17" spans="4:10" ht="23.4" x14ac:dyDescent="0.45">
      <c r="F17" s="59" t="s">
        <v>114</v>
      </c>
      <c r="G17" s="62">
        <f>PMT(G14/12,G15,-G16)</f>
        <v>599.99996674918395</v>
      </c>
    </row>
    <row r="19" spans="4:10" ht="25.8" x14ac:dyDescent="0.5">
      <c r="D19" s="63" t="s">
        <v>117</v>
      </c>
      <c r="E19" s="63"/>
      <c r="F19" s="63"/>
      <c r="G19" s="63"/>
      <c r="H19" s="63"/>
      <c r="I19" s="63"/>
      <c r="J19" s="63"/>
    </row>
    <row r="21" spans="4:10" ht="23.4" x14ac:dyDescent="0.45">
      <c r="F21" s="57" t="s">
        <v>110</v>
      </c>
      <c r="G21" s="58"/>
    </row>
    <row r="22" spans="4:10" ht="23.4" x14ac:dyDescent="0.45">
      <c r="F22" s="59"/>
      <c r="G22" s="59"/>
    </row>
    <row r="23" spans="4:10" ht="23.4" x14ac:dyDescent="0.45">
      <c r="F23" s="59" t="s">
        <v>111</v>
      </c>
      <c r="G23" s="60">
        <v>3.5000000000000003E-2</v>
      </c>
    </row>
    <row r="24" spans="4:10" ht="23.4" x14ac:dyDescent="0.45">
      <c r="F24" s="59" t="s">
        <v>112</v>
      </c>
      <c r="G24" s="59">
        <v>42.594272127228464</v>
      </c>
    </row>
    <row r="25" spans="4:10" ht="23.4" x14ac:dyDescent="0.45">
      <c r="F25" s="59" t="s">
        <v>113</v>
      </c>
      <c r="G25" s="61">
        <v>24000</v>
      </c>
    </row>
    <row r="26" spans="4:10" ht="23.4" x14ac:dyDescent="0.45">
      <c r="F26" s="59" t="s">
        <v>114</v>
      </c>
      <c r="G26" s="62">
        <f>PMT(G23/12,G24,-G25)</f>
        <v>600.00080411318959</v>
      </c>
    </row>
    <row r="28" spans="4:10" ht="25.8" x14ac:dyDescent="0.5">
      <c r="D28" s="63" t="s">
        <v>118</v>
      </c>
      <c r="E28" s="63"/>
      <c r="F28" s="63"/>
      <c r="G28" s="63"/>
      <c r="H28" s="63"/>
      <c r="I28" s="63"/>
      <c r="J28" s="63"/>
    </row>
    <row r="30" spans="4:10" ht="23.4" x14ac:dyDescent="0.45">
      <c r="F30" s="57" t="s">
        <v>110</v>
      </c>
      <c r="G30" s="58"/>
    </row>
    <row r="31" spans="4:10" ht="23.4" x14ac:dyDescent="0.45">
      <c r="F31" s="59"/>
      <c r="G31" s="59"/>
    </row>
    <row r="32" spans="4:10" ht="23.4" x14ac:dyDescent="0.45">
      <c r="F32" s="59" t="s">
        <v>111</v>
      </c>
      <c r="G32" s="60">
        <v>3.5000000000000003E-2</v>
      </c>
    </row>
    <row r="33" spans="6:7" ht="23.4" x14ac:dyDescent="0.45">
      <c r="F33" s="59" t="s">
        <v>112</v>
      </c>
      <c r="G33" s="59">
        <v>91.230921021070174</v>
      </c>
    </row>
    <row r="34" spans="6:7" ht="23.4" x14ac:dyDescent="0.45">
      <c r="F34" s="59" t="s">
        <v>113</v>
      </c>
      <c r="G34" s="61">
        <v>24000</v>
      </c>
    </row>
    <row r="35" spans="6:7" ht="23.4" x14ac:dyDescent="0.45">
      <c r="F35" s="59" t="s">
        <v>114</v>
      </c>
      <c r="G35" s="62">
        <f>PMT(G32/12,G33,-G34)</f>
        <v>300.00027079421983</v>
      </c>
    </row>
  </sheetData>
  <mergeCells count="9">
    <mergeCell ref="D19:J19"/>
    <mergeCell ref="F21:G21"/>
    <mergeCell ref="D28:J28"/>
    <mergeCell ref="F30:G30"/>
    <mergeCell ref="A1:B1"/>
    <mergeCell ref="D1:O1"/>
    <mergeCell ref="F3:G3"/>
    <mergeCell ref="D10:J10"/>
    <mergeCell ref="F12:G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2A9A-67DB-4CF4-9D90-36BB45DDDC90}">
  <sheetPr>
    <outlinePr summaryBelow="0"/>
  </sheetPr>
  <dimension ref="B1:H13"/>
  <sheetViews>
    <sheetView showGridLines="0" workbookViewId="0">
      <selection activeCell="I27" sqref="I27"/>
    </sheetView>
  </sheetViews>
  <sheetFormatPr defaultRowHeight="14.4" outlineLevelRow="1" outlineLevelCol="1" x14ac:dyDescent="0.3"/>
  <cols>
    <col min="3" max="3" width="6.109375" bestFit="1" customWidth="1"/>
    <col min="4" max="8" width="12.6640625" bestFit="1" customWidth="1" outlineLevel="1"/>
  </cols>
  <sheetData>
    <row r="1" spans="2:8" ht="15" thickBot="1" x14ac:dyDescent="0.35"/>
    <row r="2" spans="2:8" ht="15.6" x14ac:dyDescent="0.3">
      <c r="B2" s="73" t="s">
        <v>133</v>
      </c>
      <c r="C2" s="73"/>
      <c r="D2" s="78"/>
      <c r="E2" s="78"/>
      <c r="F2" s="78"/>
      <c r="G2" s="78"/>
      <c r="H2" s="78"/>
    </row>
    <row r="3" spans="2:8" ht="15.6" collapsed="1" x14ac:dyDescent="0.3">
      <c r="B3" s="72"/>
      <c r="C3" s="72"/>
      <c r="D3" s="79" t="s">
        <v>135</v>
      </c>
      <c r="E3" s="79">
        <v>10000</v>
      </c>
      <c r="F3" s="79">
        <v>5000</v>
      </c>
      <c r="G3" s="79">
        <v>3000</v>
      </c>
      <c r="H3" s="79">
        <v>1000</v>
      </c>
    </row>
    <row r="4" spans="2:8" ht="64.8" hidden="1" outlineLevel="1" x14ac:dyDescent="0.3">
      <c r="B4" s="75"/>
      <c r="C4" s="75"/>
      <c r="D4" s="69"/>
      <c r="E4" s="81" t="s">
        <v>131</v>
      </c>
      <c r="F4" s="81" t="s">
        <v>132</v>
      </c>
      <c r="G4" s="81" t="s">
        <v>132</v>
      </c>
      <c r="H4" s="81" t="s">
        <v>132</v>
      </c>
    </row>
    <row r="5" spans="2:8" x14ac:dyDescent="0.3">
      <c r="B5" s="76" t="s">
        <v>134</v>
      </c>
      <c r="C5" s="76"/>
      <c r="D5" s="74"/>
      <c r="E5" s="74"/>
      <c r="F5" s="74"/>
      <c r="G5" s="74"/>
      <c r="H5" s="74"/>
    </row>
    <row r="6" spans="2:8" outlineLevel="1" x14ac:dyDescent="0.3">
      <c r="B6" s="75"/>
      <c r="C6" s="75" t="s">
        <v>127</v>
      </c>
      <c r="D6" s="70">
        <v>3000</v>
      </c>
      <c r="E6" s="80">
        <v>10000</v>
      </c>
      <c r="F6" s="70">
        <v>3000</v>
      </c>
      <c r="G6" s="80">
        <v>3000</v>
      </c>
      <c r="H6" s="70">
        <v>3000</v>
      </c>
    </row>
    <row r="7" spans="2:8" outlineLevel="1" x14ac:dyDescent="0.3">
      <c r="B7" s="75"/>
      <c r="C7" s="75" t="s">
        <v>128</v>
      </c>
      <c r="D7" s="70">
        <v>5000</v>
      </c>
      <c r="E7" s="70">
        <v>5000</v>
      </c>
      <c r="F7" s="80">
        <v>5000</v>
      </c>
      <c r="G7" s="70">
        <v>5000</v>
      </c>
      <c r="H7" s="70">
        <v>5000</v>
      </c>
    </row>
    <row r="8" spans="2:8" outlineLevel="1" x14ac:dyDescent="0.3">
      <c r="B8" s="75"/>
      <c r="C8" s="75" t="s">
        <v>129</v>
      </c>
      <c r="D8" s="70">
        <v>1000</v>
      </c>
      <c r="E8" s="70">
        <v>1000</v>
      </c>
      <c r="F8" s="70">
        <v>1000</v>
      </c>
      <c r="G8" s="70">
        <v>1000</v>
      </c>
      <c r="H8" s="80">
        <v>1000</v>
      </c>
    </row>
    <row r="9" spans="2:8" x14ac:dyDescent="0.3">
      <c r="B9" s="76" t="s">
        <v>136</v>
      </c>
      <c r="C9" s="76"/>
      <c r="D9" s="74"/>
      <c r="E9" s="74"/>
      <c r="F9" s="74"/>
      <c r="G9" s="74"/>
      <c r="H9" s="74"/>
    </row>
    <row r="10" spans="2:8" ht="15" outlineLevel="1" thickBot="1" x14ac:dyDescent="0.35">
      <c r="B10" s="77"/>
      <c r="C10" s="77" t="s">
        <v>130</v>
      </c>
      <c r="D10" s="71"/>
      <c r="E10" s="71"/>
      <c r="F10" s="71"/>
      <c r="G10" s="71"/>
      <c r="H10" s="71"/>
    </row>
    <row r="11" spans="2:8" x14ac:dyDescent="0.3">
      <c r="B11" t="s">
        <v>137</v>
      </c>
    </row>
    <row r="12" spans="2:8" x14ac:dyDescent="0.3">
      <c r="B12" t="s">
        <v>138</v>
      </c>
    </row>
    <row r="13" spans="2:8" x14ac:dyDescent="0.3">
      <c r="B13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850C-F8D4-4996-84F2-41306D5AA4C9}">
  <sheetPr>
    <outlinePr summaryBelow="0"/>
  </sheetPr>
  <dimension ref="B1:F11"/>
  <sheetViews>
    <sheetView showGridLines="0" tabSelected="1" workbookViewId="0">
      <selection activeCell="E20" sqref="E20"/>
    </sheetView>
  </sheetViews>
  <sheetFormatPr defaultRowHeight="14.4" outlineLevelRow="1" outlineLevelCol="1" x14ac:dyDescent="0.3"/>
  <cols>
    <col min="3" max="3" width="5.109375" bestFit="1" customWidth="1"/>
    <col min="4" max="6" width="27.44140625" bestFit="1" customWidth="1" outlineLevel="1"/>
  </cols>
  <sheetData>
    <row r="1" spans="2:6" ht="15" thickBot="1" x14ac:dyDescent="0.35"/>
    <row r="2" spans="2:6" ht="15.6" x14ac:dyDescent="0.3">
      <c r="B2" s="73" t="s">
        <v>133</v>
      </c>
      <c r="C2" s="73"/>
      <c r="D2" s="78"/>
      <c r="E2" s="78"/>
      <c r="F2" s="78"/>
    </row>
    <row r="3" spans="2:6" ht="15.6" collapsed="1" x14ac:dyDescent="0.3">
      <c r="B3" s="72"/>
      <c r="C3" s="72"/>
      <c r="D3" s="79" t="s">
        <v>135</v>
      </c>
      <c r="E3" s="79" t="s">
        <v>144</v>
      </c>
      <c r="F3" s="79" t="s">
        <v>145</v>
      </c>
    </row>
    <row r="4" spans="2:6" hidden="1" outlineLevel="1" x14ac:dyDescent="0.3">
      <c r="B4" s="75"/>
      <c r="C4" s="75"/>
      <c r="D4" s="69"/>
      <c r="E4" s="81" t="s">
        <v>132</v>
      </c>
      <c r="F4" s="81" t="s">
        <v>132</v>
      </c>
    </row>
    <row r="5" spans="2:6" x14ac:dyDescent="0.3">
      <c r="B5" s="76" t="s">
        <v>134</v>
      </c>
      <c r="C5" s="76"/>
      <c r="D5" s="74"/>
      <c r="E5" s="74"/>
      <c r="F5" s="74"/>
    </row>
    <row r="6" spans="2:6" outlineLevel="1" x14ac:dyDescent="0.3">
      <c r="B6" s="75"/>
      <c r="C6" s="75" t="s">
        <v>143</v>
      </c>
      <c r="D6" s="70">
        <v>60000</v>
      </c>
      <c r="E6" s="80">
        <v>60000</v>
      </c>
      <c r="F6" s="80">
        <v>70000</v>
      </c>
    </row>
    <row r="7" spans="2:6" x14ac:dyDescent="0.3">
      <c r="B7" s="76" t="s">
        <v>136</v>
      </c>
      <c r="C7" s="76"/>
      <c r="D7" s="74"/>
      <c r="E7" s="74"/>
      <c r="F7" s="74"/>
    </row>
    <row r="8" spans="2:6" ht="15" outlineLevel="1" thickBot="1" x14ac:dyDescent="0.35">
      <c r="B8" s="77"/>
      <c r="C8" s="77" t="s">
        <v>130</v>
      </c>
      <c r="D8" s="71"/>
      <c r="E8" s="71"/>
      <c r="F8" s="71"/>
    </row>
    <row r="9" spans="2:6" x14ac:dyDescent="0.3">
      <c r="B9" t="s">
        <v>137</v>
      </c>
    </row>
    <row r="10" spans="2:6" x14ac:dyDescent="0.3">
      <c r="B10" t="s">
        <v>138</v>
      </c>
    </row>
    <row r="11" spans="2:6" x14ac:dyDescent="0.3">
      <c r="B11" t="s">
        <v>139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EA97-1624-4DC7-88B5-E49EE4AF9DC9}">
  <dimension ref="A1:R11"/>
  <sheetViews>
    <sheetView workbookViewId="0">
      <selection activeCell="D8" sqref="D8"/>
    </sheetView>
  </sheetViews>
  <sheetFormatPr defaultRowHeight="14.4" x14ac:dyDescent="0.3"/>
  <cols>
    <col min="1" max="1" width="19.5546875" customWidth="1"/>
    <col min="2" max="2" width="25.88671875" customWidth="1"/>
    <col min="5" max="5" width="5.21875" customWidth="1"/>
  </cols>
  <sheetData>
    <row r="1" spans="1:18" ht="25.8" x14ac:dyDescent="0.5">
      <c r="A1" s="64" t="s">
        <v>119</v>
      </c>
      <c r="B1" s="65">
        <v>100000</v>
      </c>
      <c r="D1" s="63" t="s">
        <v>126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18" x14ac:dyDescent="0.35">
      <c r="A2" s="66"/>
      <c r="B2" s="67"/>
    </row>
    <row r="3" spans="1:18" ht="25.8" x14ac:dyDescent="0.5">
      <c r="A3" s="64" t="s">
        <v>120</v>
      </c>
      <c r="B3" s="67"/>
      <c r="F3" s="63" t="s">
        <v>140</v>
      </c>
      <c r="G3" s="63"/>
      <c r="H3" s="63"/>
      <c r="I3" s="63"/>
      <c r="J3" s="63"/>
      <c r="K3" s="63"/>
      <c r="L3" s="63"/>
      <c r="M3" s="63"/>
    </row>
    <row r="4" spans="1:18" ht="18" x14ac:dyDescent="0.35">
      <c r="A4" s="66" t="s">
        <v>121</v>
      </c>
      <c r="B4" s="65">
        <v>5000</v>
      </c>
    </row>
    <row r="5" spans="1:18" ht="25.8" x14ac:dyDescent="0.5">
      <c r="A5" s="66" t="s">
        <v>122</v>
      </c>
      <c r="B5" s="65">
        <v>5000</v>
      </c>
      <c r="F5" s="63" t="s">
        <v>141</v>
      </c>
      <c r="G5" s="63"/>
      <c r="H5" s="63"/>
      <c r="I5" s="63"/>
      <c r="J5" s="63"/>
      <c r="K5" s="63"/>
      <c r="L5" s="63"/>
      <c r="M5" s="63"/>
      <c r="N5" s="63"/>
      <c r="O5" s="63"/>
      <c r="P5" s="63"/>
    </row>
    <row r="6" spans="1:18" ht="18" x14ac:dyDescent="0.35">
      <c r="A6" s="66" t="s">
        <v>123</v>
      </c>
      <c r="B6" s="65">
        <v>3000</v>
      </c>
    </row>
    <row r="7" spans="1:18" ht="25.8" x14ac:dyDescent="0.5">
      <c r="A7" s="66" t="s">
        <v>124</v>
      </c>
      <c r="B7" s="65">
        <v>1000</v>
      </c>
      <c r="F7" s="63" t="s">
        <v>142</v>
      </c>
      <c r="G7" s="63"/>
      <c r="H7" s="63"/>
      <c r="I7" s="63"/>
      <c r="J7" s="63"/>
      <c r="K7" s="63"/>
    </row>
    <row r="8" spans="1:18" ht="18" x14ac:dyDescent="0.35">
      <c r="A8" s="64"/>
      <c r="B8" s="67"/>
    </row>
    <row r="9" spans="1:18" ht="18" x14ac:dyDescent="0.35">
      <c r="A9" s="64" t="s">
        <v>125</v>
      </c>
      <c r="B9" s="68">
        <v>60000</v>
      </c>
    </row>
    <row r="10" spans="1:18" ht="18" x14ac:dyDescent="0.35">
      <c r="A10" s="64"/>
      <c r="B10" s="67"/>
    </row>
    <row r="11" spans="1:18" ht="18" x14ac:dyDescent="0.35">
      <c r="A11" s="64" t="s">
        <v>10</v>
      </c>
      <c r="B11" s="68">
        <v>1000</v>
      </c>
    </row>
  </sheetData>
  <scenarios current="0" show="0" sqref="E3">
    <scenario name="10000 TOTAL COST INCREASES" locked="1" count="1" user="ABDULLAH" comment="Created by ABDULLAH on 17-12-2025">
      <inputCells r="B9" val="60000"/>
    </scenario>
    <scenario name="TOTAL COST INCREASES BY 20000" locked="1" count="1" user="ABDULLAH" comment="Created by ABDULLAH on 17-12-2025">
      <inputCells r="B9" val="70000" numFmtId="167"/>
    </scenario>
  </scenarios>
  <mergeCells count="4">
    <mergeCell ref="D1:R1"/>
    <mergeCell ref="F3:M3"/>
    <mergeCell ref="F5:P5"/>
    <mergeCell ref="F7:K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A36C-7638-4D3E-B871-3F44AF46BA91}">
  <dimension ref="A1:P39"/>
  <sheetViews>
    <sheetView topLeftCell="A13" workbookViewId="0">
      <selection activeCell="B30" sqref="A20:B39"/>
    </sheetView>
  </sheetViews>
  <sheetFormatPr defaultRowHeight="14.4" x14ac:dyDescent="0.3"/>
  <cols>
    <col min="1" max="1" width="10.33203125" bestFit="1" customWidth="1"/>
    <col min="2" max="2" width="17.77734375" customWidth="1"/>
    <col min="3" max="3" width="23.88671875" customWidth="1"/>
    <col min="4" max="4" width="36.88671875" customWidth="1"/>
    <col min="5" max="5" width="37.109375" customWidth="1"/>
  </cols>
  <sheetData>
    <row r="1" spans="1:16" ht="25.8" x14ac:dyDescent="0.5">
      <c r="A1" t="s">
        <v>99</v>
      </c>
      <c r="B1" t="s">
        <v>101</v>
      </c>
      <c r="C1" t="s">
        <v>102</v>
      </c>
      <c r="D1" t="s">
        <v>103</v>
      </c>
      <c r="E1" t="s">
        <v>104</v>
      </c>
      <c r="G1" s="48" t="s">
        <v>108</v>
      </c>
      <c r="H1" s="48"/>
      <c r="I1" s="48"/>
      <c r="J1" s="48"/>
      <c r="K1" s="48"/>
      <c r="L1" s="48"/>
      <c r="M1" s="48"/>
      <c r="N1" s="48"/>
      <c r="O1" s="48"/>
      <c r="P1" s="48"/>
    </row>
    <row r="2" spans="1:16" x14ac:dyDescent="0.3">
      <c r="A2" s="5">
        <v>45324</v>
      </c>
      <c r="B2" s="50">
        <v>10020</v>
      </c>
    </row>
    <row r="3" spans="1:16" x14ac:dyDescent="0.3">
      <c r="A3" s="5">
        <v>45353</v>
      </c>
      <c r="B3" s="50">
        <v>22001</v>
      </c>
    </row>
    <row r="4" spans="1:16" x14ac:dyDescent="0.3">
      <c r="A4" s="5">
        <v>45384</v>
      </c>
      <c r="B4" s="50">
        <v>30023</v>
      </c>
    </row>
    <row r="5" spans="1:16" x14ac:dyDescent="0.3">
      <c r="A5" s="5">
        <v>45414</v>
      </c>
      <c r="B5" s="50">
        <v>32001</v>
      </c>
    </row>
    <row r="6" spans="1:16" x14ac:dyDescent="0.3">
      <c r="A6" s="5">
        <v>45445</v>
      </c>
      <c r="B6" s="50">
        <v>35423</v>
      </c>
    </row>
    <row r="7" spans="1:16" x14ac:dyDescent="0.3">
      <c r="A7" s="5">
        <v>45475</v>
      </c>
      <c r="B7" s="50">
        <v>34534</v>
      </c>
    </row>
    <row r="8" spans="1:16" x14ac:dyDescent="0.3">
      <c r="A8" s="5">
        <v>45506</v>
      </c>
      <c r="B8" s="50">
        <v>23234</v>
      </c>
    </row>
    <row r="9" spans="1:16" x14ac:dyDescent="0.3">
      <c r="A9" s="5">
        <v>45537</v>
      </c>
      <c r="B9" s="50">
        <v>56788</v>
      </c>
    </row>
    <row r="10" spans="1:16" x14ac:dyDescent="0.3">
      <c r="A10" s="5">
        <v>45567</v>
      </c>
      <c r="B10" s="50">
        <v>56789</v>
      </c>
    </row>
    <row r="11" spans="1:16" x14ac:dyDescent="0.3">
      <c r="A11" s="5">
        <v>45598</v>
      </c>
      <c r="B11" s="50">
        <v>65789</v>
      </c>
    </row>
    <row r="12" spans="1:16" x14ac:dyDescent="0.3">
      <c r="A12" s="5">
        <v>45628</v>
      </c>
      <c r="B12" s="50">
        <v>67943</v>
      </c>
    </row>
    <row r="13" spans="1:16" x14ac:dyDescent="0.3">
      <c r="A13" s="5">
        <v>45659</v>
      </c>
      <c r="B13" s="50">
        <v>70898</v>
      </c>
    </row>
    <row r="14" spans="1:16" x14ac:dyDescent="0.3">
      <c r="A14" s="5">
        <v>45690</v>
      </c>
      <c r="B14" s="50">
        <v>34234</v>
      </c>
      <c r="C14" s="50">
        <v>34234</v>
      </c>
      <c r="D14" s="50">
        <v>34234</v>
      </c>
      <c r="E14" s="50">
        <v>34234</v>
      </c>
    </row>
    <row r="15" spans="1:16" x14ac:dyDescent="0.3">
      <c r="A15" s="5">
        <v>45718</v>
      </c>
      <c r="C15" s="50">
        <f>_xlfn.FORECAST.ETS(A15,$B$2:$B$14,$A$2:$A$14,1,1)</f>
        <v>66181.948517937504</v>
      </c>
      <c r="D15" s="50">
        <f>C15-_xlfn.FORECAST.ETS.CONFINT(A15,$B$2:$B$14,$A$2:$A$14,0.95,1,1)</f>
        <v>39126.292620501423</v>
      </c>
      <c r="E15" s="50">
        <f>C15+_xlfn.FORECAST.ETS.CONFINT(A15,$B$2:$B$14,$A$2:$A$14,0.95,1,1)</f>
        <v>93237.604415373586</v>
      </c>
    </row>
    <row r="16" spans="1:16" x14ac:dyDescent="0.3">
      <c r="A16" s="5">
        <v>45749</v>
      </c>
      <c r="C16" s="50">
        <f>_xlfn.FORECAST.ETS(A16,$B$2:$B$14,$A$2:$A$14,1,1)</f>
        <v>70091.952730737423</v>
      </c>
      <c r="D16" s="50">
        <f>C16-_xlfn.FORECAST.ETS.CONFINT(A16,$B$2:$B$14,$A$2:$A$14,0.95,1,1)</f>
        <v>42197.046662432891</v>
      </c>
      <c r="E16" s="50">
        <f>C16+_xlfn.FORECAST.ETS.CONFINT(A16,$B$2:$B$14,$A$2:$A$14,0.95,1,1)</f>
        <v>97986.858799041947</v>
      </c>
    </row>
    <row r="17" spans="1:5" x14ac:dyDescent="0.3">
      <c r="A17" s="5">
        <v>45779</v>
      </c>
      <c r="C17" s="50">
        <f>_xlfn.FORECAST.ETS(A17,$B$2:$B$14,$A$2:$A$14,1,1)</f>
        <v>74001.9569435374</v>
      </c>
      <c r="D17" s="50">
        <f>C17-_xlfn.FORECAST.ETS.CONFINT(A17,$B$2:$B$14,$A$2:$A$14,0.95,1,1)</f>
        <v>45285.911718573581</v>
      </c>
      <c r="E17" s="50">
        <f>C17+_xlfn.FORECAST.ETS.CONFINT(A17,$B$2:$B$14,$A$2:$A$14,0.95,1,1)</f>
        <v>102718.00216850122</v>
      </c>
    </row>
    <row r="18" spans="1:5" x14ac:dyDescent="0.3">
      <c r="A18" s="5">
        <v>45810</v>
      </c>
      <c r="C18" s="50">
        <f>_xlfn.FORECAST.ETS(A18,$B$2:$B$14,$A$2:$A$14,1,1)</f>
        <v>77911.961156337318</v>
      </c>
      <c r="D18" s="50">
        <f>C18-_xlfn.FORECAST.ETS.CONFINT(A18,$B$2:$B$14,$A$2:$A$14,0.95,1,1)</f>
        <v>48391.351635776919</v>
      </c>
      <c r="E18" s="50">
        <f>C18+_xlfn.FORECAST.ETS.CONFINT(A18,$B$2:$B$14,$A$2:$A$14,0.95,1,1)</f>
        <v>107432.57067689771</v>
      </c>
    </row>
    <row r="20" spans="1:5" ht="18" x14ac:dyDescent="0.35">
      <c r="A20" s="51" t="s">
        <v>99</v>
      </c>
      <c r="B20" s="52" t="s">
        <v>100</v>
      </c>
    </row>
    <row r="21" spans="1:5" x14ac:dyDescent="0.3">
      <c r="A21" s="53">
        <v>45324</v>
      </c>
      <c r="B21" s="54">
        <v>10020</v>
      </c>
    </row>
    <row r="22" spans="1:5" x14ac:dyDescent="0.3">
      <c r="A22" s="53">
        <v>45353</v>
      </c>
      <c r="B22" s="54">
        <v>22001</v>
      </c>
    </row>
    <row r="23" spans="1:5" x14ac:dyDescent="0.3">
      <c r="A23" s="53">
        <v>45384</v>
      </c>
      <c r="B23" s="54">
        <v>30023</v>
      </c>
    </row>
    <row r="24" spans="1:5" x14ac:dyDescent="0.3">
      <c r="A24" s="53">
        <v>45414</v>
      </c>
      <c r="B24" s="54">
        <v>32001</v>
      </c>
    </row>
    <row r="25" spans="1:5" x14ac:dyDescent="0.3">
      <c r="A25" s="53">
        <v>45445</v>
      </c>
      <c r="B25" s="54">
        <v>35423</v>
      </c>
    </row>
    <row r="26" spans="1:5" x14ac:dyDescent="0.3">
      <c r="A26" s="53">
        <v>45475</v>
      </c>
      <c r="B26" s="54">
        <v>34534</v>
      </c>
    </row>
    <row r="27" spans="1:5" x14ac:dyDescent="0.3">
      <c r="A27" s="53">
        <v>45506</v>
      </c>
      <c r="B27" s="54">
        <v>23234</v>
      </c>
    </row>
    <row r="28" spans="1:5" x14ac:dyDescent="0.3">
      <c r="A28" s="53">
        <v>45537</v>
      </c>
      <c r="B28" s="54">
        <v>56788</v>
      </c>
    </row>
    <row r="29" spans="1:5" x14ac:dyDescent="0.3">
      <c r="A29" s="53">
        <v>45567</v>
      </c>
      <c r="B29" s="54">
        <v>56789</v>
      </c>
    </row>
    <row r="30" spans="1:5" x14ac:dyDescent="0.3">
      <c r="A30" s="53">
        <v>45598</v>
      </c>
      <c r="B30" s="54">
        <v>65789</v>
      </c>
    </row>
    <row r="31" spans="1:5" x14ac:dyDescent="0.3">
      <c r="A31" s="53">
        <v>45628</v>
      </c>
      <c r="B31" s="54">
        <v>67943</v>
      </c>
    </row>
    <row r="32" spans="1:5" x14ac:dyDescent="0.3">
      <c r="A32" s="53">
        <v>45659</v>
      </c>
      <c r="B32" s="54">
        <v>70898</v>
      </c>
    </row>
    <row r="33" spans="1:2" x14ac:dyDescent="0.3">
      <c r="A33" s="53">
        <v>45690</v>
      </c>
      <c r="B33" s="54">
        <v>34234</v>
      </c>
    </row>
    <row r="34" spans="1:2" x14ac:dyDescent="0.3">
      <c r="A34" s="53">
        <v>45718</v>
      </c>
      <c r="B34" s="54"/>
    </row>
    <row r="35" spans="1:2" x14ac:dyDescent="0.3">
      <c r="A35" s="53">
        <v>45749</v>
      </c>
      <c r="B35" s="54"/>
    </row>
    <row r="36" spans="1:2" x14ac:dyDescent="0.3">
      <c r="A36" s="53">
        <v>45779</v>
      </c>
      <c r="B36" s="54"/>
    </row>
    <row r="37" spans="1:2" x14ac:dyDescent="0.3">
      <c r="A37" s="53">
        <v>45810</v>
      </c>
      <c r="B37" s="54"/>
    </row>
    <row r="38" spans="1:2" x14ac:dyDescent="0.3">
      <c r="A38" s="53">
        <v>45840</v>
      </c>
      <c r="B38" s="54"/>
    </row>
    <row r="39" spans="1:2" x14ac:dyDescent="0.3">
      <c r="A39" s="53">
        <v>45871</v>
      </c>
      <c r="B39" s="54"/>
    </row>
  </sheetData>
  <mergeCells count="1">
    <mergeCell ref="G1:P1"/>
  </mergeCell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E9E3-B893-4490-90B8-F8B2273DC585}">
  <dimension ref="A1:K27"/>
  <sheetViews>
    <sheetView topLeftCell="A16" workbookViewId="0">
      <selection activeCell="B31" sqref="B31:C50"/>
    </sheetView>
  </sheetViews>
  <sheetFormatPr defaultRowHeight="14.4" x14ac:dyDescent="0.3"/>
  <cols>
    <col min="2" max="2" width="15.109375" customWidth="1"/>
    <col min="3" max="3" width="21.88671875" customWidth="1"/>
    <col min="4" max="4" width="26.5546875" customWidth="1"/>
    <col min="5" max="5" width="24.88671875" customWidth="1"/>
    <col min="6" max="6" width="27.33203125" customWidth="1"/>
    <col min="7" max="7" width="23.109375" customWidth="1"/>
    <col min="8" max="8" width="18.44140625" customWidth="1"/>
    <col min="9" max="9" width="11.88671875" customWidth="1"/>
    <col min="10" max="11" width="13.21875" customWidth="1"/>
  </cols>
  <sheetData>
    <row r="1" spans="1:11" ht="31.8" thickBot="1" x14ac:dyDescent="0.65">
      <c r="A1" s="21" t="s">
        <v>70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1.6" thickBot="1" x14ac:dyDescent="0.4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</row>
    <row r="3" spans="1:11" x14ac:dyDescent="0.3">
      <c r="A3" s="4">
        <v>1</v>
      </c>
      <c r="B3" s="5">
        <v>42685</v>
      </c>
      <c r="C3" t="s">
        <v>11</v>
      </c>
      <c r="D3" t="s">
        <v>12</v>
      </c>
      <c r="E3">
        <v>42420</v>
      </c>
      <c r="F3" t="s">
        <v>13</v>
      </c>
      <c r="G3" t="s">
        <v>14</v>
      </c>
      <c r="H3" t="s">
        <v>15</v>
      </c>
      <c r="I3">
        <v>261.95999999999998</v>
      </c>
      <c r="J3">
        <v>2</v>
      </c>
      <c r="K3" s="6">
        <v>41.913600000000002</v>
      </c>
    </row>
    <row r="4" spans="1:11" x14ac:dyDescent="0.3">
      <c r="A4" s="4">
        <v>2</v>
      </c>
      <c r="B4" s="5">
        <v>42685</v>
      </c>
      <c r="C4" t="s">
        <v>11</v>
      </c>
      <c r="D4" t="s">
        <v>12</v>
      </c>
      <c r="E4">
        <v>42420</v>
      </c>
      <c r="F4" t="s">
        <v>16</v>
      </c>
      <c r="G4" t="s">
        <v>14</v>
      </c>
      <c r="H4" t="s">
        <v>17</v>
      </c>
      <c r="I4">
        <v>731.93999999999994</v>
      </c>
      <c r="J4">
        <v>3</v>
      </c>
      <c r="K4" s="6">
        <v>219.58199999999997</v>
      </c>
    </row>
    <row r="5" spans="1:11" x14ac:dyDescent="0.3">
      <c r="A5" s="4">
        <v>3</v>
      </c>
      <c r="B5" s="5">
        <v>42537</v>
      </c>
      <c r="C5" t="s">
        <v>18</v>
      </c>
      <c r="D5" t="s">
        <v>19</v>
      </c>
      <c r="E5">
        <v>90036</v>
      </c>
      <c r="F5" t="s">
        <v>20</v>
      </c>
      <c r="G5" t="s">
        <v>21</v>
      </c>
      <c r="H5" t="s">
        <v>22</v>
      </c>
      <c r="I5">
        <v>14.62</v>
      </c>
      <c r="J5">
        <v>2</v>
      </c>
      <c r="K5" s="6">
        <v>6.8713999999999995</v>
      </c>
    </row>
    <row r="6" spans="1:11" x14ac:dyDescent="0.3">
      <c r="A6" s="4">
        <v>4</v>
      </c>
      <c r="B6" s="5">
        <v>42295</v>
      </c>
      <c r="C6" t="s">
        <v>23</v>
      </c>
      <c r="D6" t="s">
        <v>24</v>
      </c>
      <c r="E6">
        <v>33311</v>
      </c>
      <c r="F6" t="s">
        <v>25</v>
      </c>
      <c r="G6" t="s">
        <v>14</v>
      </c>
      <c r="H6" t="s">
        <v>26</v>
      </c>
      <c r="I6">
        <v>957.57749999999999</v>
      </c>
      <c r="J6">
        <v>5</v>
      </c>
      <c r="K6" s="6">
        <v>-383.03100000000006</v>
      </c>
    </row>
    <row r="7" spans="1:11" x14ac:dyDescent="0.3">
      <c r="A7" s="4">
        <v>5</v>
      </c>
      <c r="B7" s="5">
        <v>42295</v>
      </c>
      <c r="C7" t="s">
        <v>23</v>
      </c>
      <c r="D7" t="s">
        <v>24</v>
      </c>
      <c r="E7">
        <v>33311</v>
      </c>
      <c r="F7" t="s">
        <v>27</v>
      </c>
      <c r="G7" t="s">
        <v>21</v>
      </c>
      <c r="H7" t="s">
        <v>28</v>
      </c>
      <c r="I7">
        <v>22.368000000000002</v>
      </c>
      <c r="J7">
        <v>2</v>
      </c>
      <c r="K7" s="6">
        <v>2.5163999999999991</v>
      </c>
    </row>
    <row r="8" spans="1:11" x14ac:dyDescent="0.3">
      <c r="A8" s="4">
        <v>6</v>
      </c>
      <c r="B8" s="5">
        <v>41804</v>
      </c>
      <c r="C8" t="s">
        <v>29</v>
      </c>
      <c r="D8" t="s">
        <v>30</v>
      </c>
      <c r="E8">
        <v>90032</v>
      </c>
      <c r="F8" t="s">
        <v>31</v>
      </c>
      <c r="G8" t="s">
        <v>14</v>
      </c>
      <c r="H8" t="s">
        <v>32</v>
      </c>
      <c r="I8">
        <v>48.86</v>
      </c>
      <c r="J8">
        <v>7</v>
      </c>
      <c r="K8" s="6">
        <v>14.169399999999996</v>
      </c>
    </row>
    <row r="9" spans="1:11" x14ac:dyDescent="0.3">
      <c r="A9" s="4">
        <v>7</v>
      </c>
      <c r="B9" s="5">
        <v>41804</v>
      </c>
      <c r="C9" t="s">
        <v>29</v>
      </c>
      <c r="D9" t="s">
        <v>30</v>
      </c>
      <c r="E9">
        <v>90032</v>
      </c>
      <c r="F9" t="s">
        <v>33</v>
      </c>
      <c r="G9" t="s">
        <v>21</v>
      </c>
      <c r="H9" t="s">
        <v>34</v>
      </c>
      <c r="I9">
        <v>7.28</v>
      </c>
      <c r="J9">
        <v>4</v>
      </c>
      <c r="K9" s="6">
        <v>1.9656000000000002</v>
      </c>
    </row>
    <row r="10" spans="1:11" x14ac:dyDescent="0.3">
      <c r="A10" s="4">
        <v>8</v>
      </c>
      <c r="B10" s="5">
        <v>41804</v>
      </c>
      <c r="C10" t="s">
        <v>29</v>
      </c>
      <c r="D10" t="s">
        <v>30</v>
      </c>
      <c r="E10">
        <v>90032</v>
      </c>
      <c r="F10" t="s">
        <v>35</v>
      </c>
      <c r="G10" t="s">
        <v>36</v>
      </c>
      <c r="H10" t="s">
        <v>37</v>
      </c>
      <c r="I10">
        <v>907.15200000000004</v>
      </c>
      <c r="J10">
        <v>6</v>
      </c>
      <c r="K10" s="6">
        <v>90.715200000000038</v>
      </c>
    </row>
    <row r="11" spans="1:11" x14ac:dyDescent="0.3">
      <c r="A11" s="4">
        <v>9</v>
      </c>
      <c r="B11" s="5">
        <v>41804</v>
      </c>
      <c r="C11" t="s">
        <v>29</v>
      </c>
      <c r="D11" t="s">
        <v>30</v>
      </c>
      <c r="E11">
        <v>90032</v>
      </c>
      <c r="F11" t="s">
        <v>38</v>
      </c>
      <c r="G11" t="s">
        <v>21</v>
      </c>
      <c r="H11" t="s">
        <v>39</v>
      </c>
      <c r="I11">
        <v>18.504000000000001</v>
      </c>
      <c r="J11">
        <v>3</v>
      </c>
      <c r="K11" s="6">
        <v>5.7824999999999998</v>
      </c>
    </row>
    <row r="12" spans="1:11" x14ac:dyDescent="0.3">
      <c r="A12" s="4">
        <v>10</v>
      </c>
      <c r="B12" s="5">
        <v>41804</v>
      </c>
      <c r="C12" t="s">
        <v>29</v>
      </c>
      <c r="D12" t="s">
        <v>30</v>
      </c>
      <c r="E12">
        <v>90032</v>
      </c>
      <c r="F12" t="s">
        <v>40</v>
      </c>
      <c r="G12" t="s">
        <v>21</v>
      </c>
      <c r="H12" t="s">
        <v>41</v>
      </c>
      <c r="I12">
        <v>114.9</v>
      </c>
      <c r="J12">
        <v>5</v>
      </c>
      <c r="K12" s="6">
        <v>34.469999999999992</v>
      </c>
    </row>
    <row r="13" spans="1:11" x14ac:dyDescent="0.3">
      <c r="A13" s="4">
        <v>11</v>
      </c>
      <c r="B13" s="5">
        <v>41804</v>
      </c>
      <c r="C13" t="s">
        <v>29</v>
      </c>
      <c r="D13" t="s">
        <v>30</v>
      </c>
      <c r="E13">
        <v>90032</v>
      </c>
      <c r="F13" t="s">
        <v>42</v>
      </c>
      <c r="G13" t="s">
        <v>14</v>
      </c>
      <c r="H13" t="s">
        <v>26</v>
      </c>
      <c r="I13">
        <v>1706.1840000000002</v>
      </c>
      <c r="J13">
        <v>9</v>
      </c>
      <c r="K13" s="6">
        <v>85.309199999999805</v>
      </c>
    </row>
    <row r="14" spans="1:11" x14ac:dyDescent="0.3">
      <c r="A14" s="4">
        <v>12</v>
      </c>
      <c r="B14" s="5">
        <v>41804</v>
      </c>
      <c r="C14" t="s">
        <v>29</v>
      </c>
      <c r="D14" t="s">
        <v>30</v>
      </c>
      <c r="E14">
        <v>90032</v>
      </c>
      <c r="F14" t="s">
        <v>43</v>
      </c>
      <c r="G14" t="s">
        <v>36</v>
      </c>
      <c r="H14" t="s">
        <v>37</v>
      </c>
      <c r="I14">
        <v>911.42399999999998</v>
      </c>
      <c r="J14">
        <v>4</v>
      </c>
      <c r="K14" s="6">
        <v>68.356800000000021</v>
      </c>
    </row>
    <row r="15" spans="1:11" x14ac:dyDescent="0.3">
      <c r="A15" s="4">
        <v>13</v>
      </c>
      <c r="B15" s="5">
        <v>42845</v>
      </c>
      <c r="C15" t="s">
        <v>44</v>
      </c>
      <c r="D15" t="s">
        <v>45</v>
      </c>
      <c r="E15">
        <v>28027</v>
      </c>
      <c r="F15" t="s">
        <v>46</v>
      </c>
      <c r="G15" t="s">
        <v>21</v>
      </c>
      <c r="H15" t="s">
        <v>47</v>
      </c>
      <c r="I15">
        <v>15.552000000000003</v>
      </c>
      <c r="J15">
        <v>3</v>
      </c>
      <c r="K15" s="6">
        <v>5.4432</v>
      </c>
    </row>
    <row r="16" spans="1:11" x14ac:dyDescent="0.3">
      <c r="A16" s="4">
        <v>14</v>
      </c>
      <c r="B16" s="5">
        <v>42714</v>
      </c>
      <c r="C16" t="s">
        <v>48</v>
      </c>
      <c r="D16" t="s">
        <v>49</v>
      </c>
      <c r="E16">
        <v>98103</v>
      </c>
      <c r="F16" t="s">
        <v>50</v>
      </c>
      <c r="G16" t="s">
        <v>21</v>
      </c>
      <c r="H16" t="s">
        <v>39</v>
      </c>
      <c r="I16">
        <v>407.97600000000006</v>
      </c>
      <c r="J16">
        <v>3</v>
      </c>
      <c r="K16" s="6">
        <v>132.59219999999993</v>
      </c>
    </row>
    <row r="17" spans="1:11" x14ac:dyDescent="0.3">
      <c r="A17" s="4">
        <v>15</v>
      </c>
      <c r="B17" s="5">
        <v>42334</v>
      </c>
      <c r="C17" t="s">
        <v>51</v>
      </c>
      <c r="D17" t="s">
        <v>52</v>
      </c>
      <c r="E17">
        <v>76106</v>
      </c>
      <c r="F17" t="s">
        <v>53</v>
      </c>
      <c r="G17" t="s">
        <v>21</v>
      </c>
      <c r="H17" t="s">
        <v>41</v>
      </c>
      <c r="I17">
        <v>68.809999999999988</v>
      </c>
      <c r="J17">
        <v>5</v>
      </c>
      <c r="K17" s="6">
        <v>-123.858</v>
      </c>
    </row>
    <row r="18" spans="1:11" x14ac:dyDescent="0.3">
      <c r="A18" s="4">
        <v>16</v>
      </c>
      <c r="B18" s="5">
        <v>42334</v>
      </c>
      <c r="C18" t="s">
        <v>51</v>
      </c>
      <c r="D18" t="s">
        <v>52</v>
      </c>
      <c r="E18">
        <v>76106</v>
      </c>
      <c r="F18" t="s">
        <v>54</v>
      </c>
      <c r="G18" t="s">
        <v>21</v>
      </c>
      <c r="H18" t="s">
        <v>39</v>
      </c>
      <c r="I18">
        <v>2.5439999999999996</v>
      </c>
      <c r="J18">
        <v>3</v>
      </c>
      <c r="K18" s="6">
        <v>-3.8160000000000016</v>
      </c>
    </row>
    <row r="19" spans="1:11" x14ac:dyDescent="0.3">
      <c r="A19" s="4">
        <v>17</v>
      </c>
      <c r="B19" s="5">
        <v>41961</v>
      </c>
      <c r="C19" t="s">
        <v>55</v>
      </c>
      <c r="D19" t="s">
        <v>56</v>
      </c>
      <c r="E19">
        <v>53711</v>
      </c>
      <c r="F19" t="s">
        <v>57</v>
      </c>
      <c r="G19" t="s">
        <v>21</v>
      </c>
      <c r="H19" t="s">
        <v>28</v>
      </c>
      <c r="I19">
        <v>665.88</v>
      </c>
      <c r="J19">
        <v>6</v>
      </c>
      <c r="K19" s="6">
        <v>13.317599999999999</v>
      </c>
    </row>
    <row r="20" spans="1:11" x14ac:dyDescent="0.3">
      <c r="A20" s="4">
        <v>18</v>
      </c>
      <c r="B20" s="5">
        <v>41774</v>
      </c>
      <c r="C20" t="s">
        <v>58</v>
      </c>
      <c r="D20" t="s">
        <v>59</v>
      </c>
      <c r="E20">
        <v>84084</v>
      </c>
      <c r="F20" t="s">
        <v>60</v>
      </c>
      <c r="G20" t="s">
        <v>21</v>
      </c>
      <c r="H20" t="s">
        <v>28</v>
      </c>
      <c r="I20">
        <v>55.5</v>
      </c>
      <c r="J20">
        <v>2</v>
      </c>
      <c r="K20" s="6">
        <v>9.9899999999999949</v>
      </c>
    </row>
    <row r="21" spans="1:11" x14ac:dyDescent="0.3">
      <c r="A21" s="4">
        <v>19</v>
      </c>
      <c r="B21" s="5">
        <v>41883</v>
      </c>
      <c r="C21" t="s">
        <v>61</v>
      </c>
      <c r="D21" t="s">
        <v>62</v>
      </c>
      <c r="E21">
        <v>94109</v>
      </c>
      <c r="F21" t="s">
        <v>63</v>
      </c>
      <c r="G21" t="s">
        <v>21</v>
      </c>
      <c r="H21" t="s">
        <v>34</v>
      </c>
      <c r="I21">
        <v>8.56</v>
      </c>
      <c r="J21">
        <v>2</v>
      </c>
      <c r="K21" s="6">
        <v>2.4823999999999993</v>
      </c>
    </row>
    <row r="22" spans="1:11" x14ac:dyDescent="0.3">
      <c r="A22" s="4">
        <v>20</v>
      </c>
      <c r="B22" s="5">
        <v>41883</v>
      </c>
      <c r="C22" t="s">
        <v>61</v>
      </c>
      <c r="D22" t="s">
        <v>62</v>
      </c>
      <c r="E22">
        <v>94109</v>
      </c>
      <c r="F22" t="s">
        <v>64</v>
      </c>
      <c r="G22" t="s">
        <v>36</v>
      </c>
      <c r="H22" t="s">
        <v>37</v>
      </c>
      <c r="I22">
        <v>213.48000000000002</v>
      </c>
      <c r="J22">
        <v>3</v>
      </c>
      <c r="K22" s="6">
        <v>16.010999999999981</v>
      </c>
    </row>
    <row r="23" spans="1:11" x14ac:dyDescent="0.3">
      <c r="A23" s="4">
        <v>21</v>
      </c>
      <c r="B23" s="5">
        <v>41883</v>
      </c>
      <c r="C23" t="s">
        <v>61</v>
      </c>
      <c r="D23" t="s">
        <v>62</v>
      </c>
      <c r="E23">
        <v>94109</v>
      </c>
      <c r="F23" t="s">
        <v>65</v>
      </c>
      <c r="G23" t="s">
        <v>21</v>
      </c>
      <c r="H23" t="s">
        <v>39</v>
      </c>
      <c r="I23">
        <v>22.72</v>
      </c>
      <c r="J23">
        <v>4</v>
      </c>
      <c r="K23" s="6">
        <v>7.3839999999999986</v>
      </c>
    </row>
    <row r="24" spans="1:11" x14ac:dyDescent="0.3">
      <c r="A24" s="4">
        <v>22</v>
      </c>
      <c r="B24" s="5">
        <v>42717</v>
      </c>
      <c r="C24" t="s">
        <v>66</v>
      </c>
      <c r="D24" t="s">
        <v>67</v>
      </c>
      <c r="E24">
        <v>68025</v>
      </c>
      <c r="F24" t="s">
        <v>68</v>
      </c>
      <c r="G24" t="s">
        <v>21</v>
      </c>
      <c r="H24" t="s">
        <v>34</v>
      </c>
      <c r="I24">
        <v>19.459999999999997</v>
      </c>
      <c r="J24">
        <v>7</v>
      </c>
      <c r="K24" s="6">
        <v>5.0595999999999997</v>
      </c>
    </row>
    <row r="25" spans="1:11" ht="15" thickBot="1" x14ac:dyDescent="0.35">
      <c r="A25" s="7">
        <v>23</v>
      </c>
      <c r="B25" s="8">
        <v>42717</v>
      </c>
      <c r="C25" s="9" t="s">
        <v>66</v>
      </c>
      <c r="D25" s="9" t="s">
        <v>67</v>
      </c>
      <c r="E25" s="9">
        <v>68025</v>
      </c>
      <c r="F25" s="9" t="s">
        <v>69</v>
      </c>
      <c r="G25" s="9" t="s">
        <v>21</v>
      </c>
      <c r="H25" s="9" t="s">
        <v>41</v>
      </c>
      <c r="I25" s="9">
        <v>60.339999999999996</v>
      </c>
      <c r="J25" s="9">
        <v>7</v>
      </c>
      <c r="K25" s="10">
        <v>15.688400000000001</v>
      </c>
    </row>
    <row r="27" spans="1:11" ht="21" x14ac:dyDescent="0.4">
      <c r="A27" s="11" t="str">
        <f>PROPER("Create a appropriate Pivot Table and Chart also style the charts.")</f>
        <v>Create A Appropriate Pivot Table And Chart Also Style The Charts.</v>
      </c>
    </row>
  </sheetData>
  <mergeCells count="1">
    <mergeCell ref="A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26F1-85A9-4981-B8DC-2E969A83E707}">
  <dimension ref="A1:K72"/>
  <sheetViews>
    <sheetView topLeftCell="A37" zoomScale="65" zoomScaleNormal="77" workbookViewId="0">
      <selection activeCell="K37" sqref="K1:K1048576"/>
    </sheetView>
  </sheetViews>
  <sheetFormatPr defaultRowHeight="14.4" x14ac:dyDescent="0.3"/>
  <cols>
    <col min="2" max="2" width="23.21875" customWidth="1"/>
    <col min="3" max="3" width="19.6640625" customWidth="1"/>
    <col min="4" max="4" width="22.44140625" customWidth="1"/>
    <col min="5" max="5" width="19.33203125" customWidth="1"/>
    <col min="6" max="6" width="19.88671875" customWidth="1"/>
    <col min="7" max="7" width="16.33203125" customWidth="1"/>
    <col min="8" max="8" width="19.6640625" customWidth="1"/>
    <col min="9" max="9" width="13.33203125" customWidth="1"/>
    <col min="11" max="11" width="12.5546875" customWidth="1"/>
  </cols>
  <sheetData>
    <row r="1" spans="1:11" ht="31.8" thickBot="1" x14ac:dyDescent="0.65">
      <c r="A1" s="21" t="s">
        <v>70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1.6" thickBot="1" x14ac:dyDescent="0.4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</row>
    <row r="3" spans="1:11" x14ac:dyDescent="0.3">
      <c r="A3" s="4">
        <v>1</v>
      </c>
      <c r="B3" s="5">
        <v>42685</v>
      </c>
      <c r="C3" t="s">
        <v>11</v>
      </c>
      <c r="D3" t="s">
        <v>12</v>
      </c>
      <c r="E3">
        <v>42420</v>
      </c>
      <c r="F3" t="s">
        <v>13</v>
      </c>
      <c r="G3" t="s">
        <v>14</v>
      </c>
      <c r="H3" t="s">
        <v>15</v>
      </c>
      <c r="I3">
        <v>261.95999999999998</v>
      </c>
      <c r="J3">
        <v>2</v>
      </c>
      <c r="K3" s="6">
        <v>41.913600000000002</v>
      </c>
    </row>
    <row r="4" spans="1:11" x14ac:dyDescent="0.3">
      <c r="A4" s="4">
        <v>2</v>
      </c>
      <c r="B4" s="5">
        <v>42685</v>
      </c>
      <c r="C4" t="s">
        <v>11</v>
      </c>
      <c r="D4" t="s">
        <v>12</v>
      </c>
      <c r="E4">
        <v>42420</v>
      </c>
      <c r="F4" t="s">
        <v>16</v>
      </c>
      <c r="G4" t="s">
        <v>14</v>
      </c>
      <c r="H4" t="s">
        <v>17</v>
      </c>
      <c r="I4">
        <v>731.93999999999994</v>
      </c>
      <c r="J4">
        <v>3</v>
      </c>
      <c r="K4" s="6">
        <v>219.58199999999997</v>
      </c>
    </row>
    <row r="5" spans="1:11" x14ac:dyDescent="0.3">
      <c r="A5" s="4">
        <v>3</v>
      </c>
      <c r="B5" s="5">
        <v>42537</v>
      </c>
      <c r="C5" t="s">
        <v>18</v>
      </c>
      <c r="D5" t="s">
        <v>19</v>
      </c>
      <c r="E5">
        <v>90036</v>
      </c>
      <c r="F5" t="s">
        <v>20</v>
      </c>
      <c r="G5" t="s">
        <v>21</v>
      </c>
      <c r="H5" t="s">
        <v>22</v>
      </c>
      <c r="I5">
        <v>14.62</v>
      </c>
      <c r="J5">
        <v>2</v>
      </c>
      <c r="K5" s="6">
        <v>6.8713999999999995</v>
      </c>
    </row>
    <row r="6" spans="1:11" x14ac:dyDescent="0.3">
      <c r="A6" s="4">
        <v>4</v>
      </c>
      <c r="B6" s="5">
        <v>42295</v>
      </c>
      <c r="C6" t="s">
        <v>23</v>
      </c>
      <c r="D6" t="s">
        <v>24</v>
      </c>
      <c r="E6">
        <v>33311</v>
      </c>
      <c r="F6" t="s">
        <v>25</v>
      </c>
      <c r="G6" t="s">
        <v>14</v>
      </c>
      <c r="H6" t="s">
        <v>26</v>
      </c>
      <c r="I6">
        <v>957.57749999999999</v>
      </c>
      <c r="J6">
        <v>5</v>
      </c>
      <c r="K6" s="6">
        <v>-383.03100000000006</v>
      </c>
    </row>
    <row r="7" spans="1:11" x14ac:dyDescent="0.3">
      <c r="A7" s="4">
        <v>5</v>
      </c>
      <c r="B7" s="5">
        <v>42295</v>
      </c>
      <c r="C7" t="s">
        <v>23</v>
      </c>
      <c r="D7" t="s">
        <v>24</v>
      </c>
      <c r="E7">
        <v>33311</v>
      </c>
      <c r="F7" t="s">
        <v>27</v>
      </c>
      <c r="G7" t="s">
        <v>21</v>
      </c>
      <c r="H7" t="s">
        <v>28</v>
      </c>
      <c r="I7">
        <v>22.368000000000002</v>
      </c>
      <c r="J7">
        <v>2</v>
      </c>
      <c r="K7" s="6">
        <v>2.5163999999999991</v>
      </c>
    </row>
    <row r="8" spans="1:11" x14ac:dyDescent="0.3">
      <c r="A8" s="4">
        <v>6</v>
      </c>
      <c r="B8" s="5">
        <v>41804</v>
      </c>
      <c r="C8" t="s">
        <v>29</v>
      </c>
      <c r="D8" t="s">
        <v>30</v>
      </c>
      <c r="E8">
        <v>90032</v>
      </c>
      <c r="F8" t="s">
        <v>31</v>
      </c>
      <c r="G8" t="s">
        <v>14</v>
      </c>
      <c r="H8" t="s">
        <v>32</v>
      </c>
      <c r="I8">
        <v>48.86</v>
      </c>
      <c r="J8">
        <v>7</v>
      </c>
      <c r="K8" s="6">
        <v>14.169399999999996</v>
      </c>
    </row>
    <row r="9" spans="1:11" x14ac:dyDescent="0.3">
      <c r="A9" s="4">
        <v>7</v>
      </c>
      <c r="B9" s="5">
        <v>41804</v>
      </c>
      <c r="C9" t="s">
        <v>29</v>
      </c>
      <c r="D9" t="s">
        <v>30</v>
      </c>
      <c r="E9">
        <v>90032</v>
      </c>
      <c r="F9" t="s">
        <v>33</v>
      </c>
      <c r="G9" t="s">
        <v>21</v>
      </c>
      <c r="H9" t="s">
        <v>34</v>
      </c>
      <c r="I9">
        <v>7.28</v>
      </c>
      <c r="J9">
        <v>4</v>
      </c>
      <c r="K9" s="6">
        <v>1.9656000000000002</v>
      </c>
    </row>
    <row r="10" spans="1:11" x14ac:dyDescent="0.3">
      <c r="A10" s="4">
        <v>8</v>
      </c>
      <c r="B10" s="5">
        <v>41804</v>
      </c>
      <c r="C10" t="s">
        <v>29</v>
      </c>
      <c r="D10" t="s">
        <v>30</v>
      </c>
      <c r="E10">
        <v>90032</v>
      </c>
      <c r="F10" t="s">
        <v>35</v>
      </c>
      <c r="G10" t="s">
        <v>36</v>
      </c>
      <c r="H10" t="s">
        <v>37</v>
      </c>
      <c r="I10">
        <v>907.15200000000004</v>
      </c>
      <c r="J10">
        <v>6</v>
      </c>
      <c r="K10" s="6">
        <v>90.715200000000038</v>
      </c>
    </row>
    <row r="11" spans="1:11" x14ac:dyDescent="0.3">
      <c r="A11" s="4">
        <v>9</v>
      </c>
      <c r="B11" s="5">
        <v>41804</v>
      </c>
      <c r="C11" t="s">
        <v>29</v>
      </c>
      <c r="D11" t="s">
        <v>30</v>
      </c>
      <c r="E11">
        <v>90032</v>
      </c>
      <c r="F11" t="s">
        <v>38</v>
      </c>
      <c r="G11" t="s">
        <v>21</v>
      </c>
      <c r="H11" t="s">
        <v>39</v>
      </c>
      <c r="I11">
        <v>18.504000000000001</v>
      </c>
      <c r="J11">
        <v>3</v>
      </c>
      <c r="K11" s="6">
        <v>5.7824999999999998</v>
      </c>
    </row>
    <row r="12" spans="1:11" x14ac:dyDescent="0.3">
      <c r="A12" s="4">
        <v>10</v>
      </c>
      <c r="B12" s="5">
        <v>41804</v>
      </c>
      <c r="C12" t="s">
        <v>29</v>
      </c>
      <c r="D12" t="s">
        <v>30</v>
      </c>
      <c r="E12">
        <v>90032</v>
      </c>
      <c r="F12" t="s">
        <v>40</v>
      </c>
      <c r="G12" t="s">
        <v>21</v>
      </c>
      <c r="H12" t="s">
        <v>41</v>
      </c>
      <c r="I12">
        <v>114.9</v>
      </c>
      <c r="J12">
        <v>5</v>
      </c>
      <c r="K12" s="6">
        <v>34.469999999999992</v>
      </c>
    </row>
    <row r="13" spans="1:11" x14ac:dyDescent="0.3">
      <c r="A13" s="4">
        <v>11</v>
      </c>
      <c r="B13" s="5">
        <v>41804</v>
      </c>
      <c r="C13" t="s">
        <v>29</v>
      </c>
      <c r="D13" t="s">
        <v>30</v>
      </c>
      <c r="E13">
        <v>90032</v>
      </c>
      <c r="F13" t="s">
        <v>42</v>
      </c>
      <c r="G13" t="s">
        <v>14</v>
      </c>
      <c r="H13" t="s">
        <v>26</v>
      </c>
      <c r="I13">
        <v>1706.1840000000002</v>
      </c>
      <c r="J13">
        <v>9</v>
      </c>
      <c r="K13" s="6">
        <v>85.309199999999805</v>
      </c>
    </row>
    <row r="14" spans="1:11" x14ac:dyDescent="0.3">
      <c r="A14" s="4">
        <v>12</v>
      </c>
      <c r="B14" s="5">
        <v>41804</v>
      </c>
      <c r="C14" t="s">
        <v>29</v>
      </c>
      <c r="D14" t="s">
        <v>30</v>
      </c>
      <c r="E14">
        <v>90032</v>
      </c>
      <c r="F14" t="s">
        <v>43</v>
      </c>
      <c r="G14" t="s">
        <v>36</v>
      </c>
      <c r="H14" t="s">
        <v>37</v>
      </c>
      <c r="I14">
        <v>911.42399999999998</v>
      </c>
      <c r="J14">
        <v>4</v>
      </c>
      <c r="K14" s="6">
        <v>68.356800000000021</v>
      </c>
    </row>
    <row r="15" spans="1:11" x14ac:dyDescent="0.3">
      <c r="A15" s="4">
        <v>13</v>
      </c>
      <c r="B15" s="5">
        <v>42845</v>
      </c>
      <c r="C15" t="s">
        <v>44</v>
      </c>
      <c r="D15" t="s">
        <v>45</v>
      </c>
      <c r="E15">
        <v>28027</v>
      </c>
      <c r="F15" t="s">
        <v>46</v>
      </c>
      <c r="G15" t="s">
        <v>21</v>
      </c>
      <c r="H15" t="s">
        <v>47</v>
      </c>
      <c r="I15">
        <v>15.552000000000003</v>
      </c>
      <c r="J15">
        <v>3</v>
      </c>
      <c r="K15" s="6">
        <v>5.4432</v>
      </c>
    </row>
    <row r="16" spans="1:11" x14ac:dyDescent="0.3">
      <c r="A16" s="4">
        <v>14</v>
      </c>
      <c r="B16" s="5">
        <v>42714</v>
      </c>
      <c r="C16" t="s">
        <v>48</v>
      </c>
      <c r="D16" t="s">
        <v>49</v>
      </c>
      <c r="E16">
        <v>98103</v>
      </c>
      <c r="F16" t="s">
        <v>50</v>
      </c>
      <c r="G16" t="s">
        <v>21</v>
      </c>
      <c r="H16" t="s">
        <v>39</v>
      </c>
      <c r="I16">
        <v>407.97600000000006</v>
      </c>
      <c r="J16">
        <v>3</v>
      </c>
      <c r="K16" s="6">
        <v>132.59219999999993</v>
      </c>
    </row>
    <row r="17" spans="1:11" x14ac:dyDescent="0.3">
      <c r="A17" s="4">
        <v>15</v>
      </c>
      <c r="B17" s="5">
        <v>42334</v>
      </c>
      <c r="C17" t="s">
        <v>51</v>
      </c>
      <c r="D17" t="s">
        <v>52</v>
      </c>
      <c r="E17">
        <v>76106</v>
      </c>
      <c r="F17" t="s">
        <v>53</v>
      </c>
      <c r="G17" t="s">
        <v>21</v>
      </c>
      <c r="H17" t="s">
        <v>41</v>
      </c>
      <c r="I17">
        <v>68.809999999999988</v>
      </c>
      <c r="J17">
        <v>5</v>
      </c>
      <c r="K17" s="6">
        <v>-123.858</v>
      </c>
    </row>
    <row r="18" spans="1:11" x14ac:dyDescent="0.3">
      <c r="A18" s="4">
        <v>16</v>
      </c>
      <c r="B18" s="5">
        <v>42334</v>
      </c>
      <c r="C18" t="s">
        <v>51</v>
      </c>
      <c r="D18" t="s">
        <v>52</v>
      </c>
      <c r="E18">
        <v>76106</v>
      </c>
      <c r="F18" t="s">
        <v>54</v>
      </c>
      <c r="G18" t="s">
        <v>21</v>
      </c>
      <c r="H18" t="s">
        <v>39</v>
      </c>
      <c r="I18">
        <v>2.5439999999999996</v>
      </c>
      <c r="J18">
        <v>3</v>
      </c>
      <c r="K18" s="6">
        <v>-3.8160000000000016</v>
      </c>
    </row>
    <row r="19" spans="1:11" x14ac:dyDescent="0.3">
      <c r="A19" s="4">
        <v>17</v>
      </c>
      <c r="B19" s="5">
        <v>41961</v>
      </c>
      <c r="C19" t="s">
        <v>55</v>
      </c>
      <c r="D19" t="s">
        <v>56</v>
      </c>
      <c r="E19">
        <v>53711</v>
      </c>
      <c r="F19" t="s">
        <v>57</v>
      </c>
      <c r="G19" t="s">
        <v>21</v>
      </c>
      <c r="H19" t="s">
        <v>28</v>
      </c>
      <c r="I19">
        <v>665.88</v>
      </c>
      <c r="J19">
        <v>6</v>
      </c>
      <c r="K19" s="6">
        <v>13.317599999999999</v>
      </c>
    </row>
    <row r="20" spans="1:11" x14ac:dyDescent="0.3">
      <c r="A20" s="4">
        <v>18</v>
      </c>
      <c r="B20" s="5">
        <v>41774</v>
      </c>
      <c r="C20" t="s">
        <v>58</v>
      </c>
      <c r="D20" t="s">
        <v>59</v>
      </c>
      <c r="E20">
        <v>84084</v>
      </c>
      <c r="F20" t="s">
        <v>60</v>
      </c>
      <c r="G20" t="s">
        <v>21</v>
      </c>
      <c r="H20" t="s">
        <v>28</v>
      </c>
      <c r="I20">
        <v>55.5</v>
      </c>
      <c r="J20">
        <v>2</v>
      </c>
      <c r="K20" s="6">
        <v>9.9899999999999949</v>
      </c>
    </row>
    <row r="21" spans="1:11" x14ac:dyDescent="0.3">
      <c r="A21" s="4">
        <v>19</v>
      </c>
      <c r="B21" s="5">
        <v>41883</v>
      </c>
      <c r="C21" t="s">
        <v>61</v>
      </c>
      <c r="D21" t="s">
        <v>62</v>
      </c>
      <c r="E21">
        <v>94109</v>
      </c>
      <c r="F21" t="s">
        <v>63</v>
      </c>
      <c r="G21" t="s">
        <v>21</v>
      </c>
      <c r="H21" t="s">
        <v>34</v>
      </c>
      <c r="I21">
        <v>8.56</v>
      </c>
      <c r="J21">
        <v>2</v>
      </c>
      <c r="K21" s="6">
        <v>2.4823999999999993</v>
      </c>
    </row>
    <row r="22" spans="1:11" x14ac:dyDescent="0.3">
      <c r="A22" s="4">
        <v>20</v>
      </c>
      <c r="B22" s="5">
        <v>41883</v>
      </c>
      <c r="C22" t="s">
        <v>61</v>
      </c>
      <c r="D22" t="s">
        <v>62</v>
      </c>
      <c r="E22">
        <v>94109</v>
      </c>
      <c r="F22" t="s">
        <v>64</v>
      </c>
      <c r="G22" t="s">
        <v>36</v>
      </c>
      <c r="H22" t="s">
        <v>37</v>
      </c>
      <c r="I22">
        <v>213.48000000000002</v>
      </c>
      <c r="J22">
        <v>3</v>
      </c>
      <c r="K22" s="6">
        <v>16.010999999999981</v>
      </c>
    </row>
    <row r="23" spans="1:11" x14ac:dyDescent="0.3">
      <c r="A23" s="4">
        <v>21</v>
      </c>
      <c r="B23" s="5">
        <v>41883</v>
      </c>
      <c r="C23" t="s">
        <v>61</v>
      </c>
      <c r="D23" t="s">
        <v>62</v>
      </c>
      <c r="E23">
        <v>94109</v>
      </c>
      <c r="F23" t="s">
        <v>65</v>
      </c>
      <c r="G23" t="s">
        <v>21</v>
      </c>
      <c r="H23" t="s">
        <v>39</v>
      </c>
      <c r="I23">
        <v>22.72</v>
      </c>
      <c r="J23">
        <v>4</v>
      </c>
      <c r="K23" s="6">
        <v>7.3839999999999986</v>
      </c>
    </row>
    <row r="24" spans="1:11" x14ac:dyDescent="0.3">
      <c r="A24" s="4">
        <v>22</v>
      </c>
      <c r="B24" s="5">
        <v>42717</v>
      </c>
      <c r="C24" t="s">
        <v>66</v>
      </c>
      <c r="D24" t="s">
        <v>67</v>
      </c>
      <c r="E24">
        <v>68025</v>
      </c>
      <c r="F24" t="s">
        <v>68</v>
      </c>
      <c r="G24" t="s">
        <v>21</v>
      </c>
      <c r="H24" t="s">
        <v>34</v>
      </c>
      <c r="I24">
        <v>19.459999999999997</v>
      </c>
      <c r="J24">
        <v>7</v>
      </c>
      <c r="K24" s="6">
        <v>5.0595999999999997</v>
      </c>
    </row>
    <row r="25" spans="1:11" ht="15" thickBot="1" x14ac:dyDescent="0.35">
      <c r="A25" s="7">
        <v>23</v>
      </c>
      <c r="B25" s="8">
        <v>42717</v>
      </c>
      <c r="C25" s="9" t="s">
        <v>66</v>
      </c>
      <c r="D25" s="9" t="s">
        <v>67</v>
      </c>
      <c r="E25" s="9">
        <v>68025</v>
      </c>
      <c r="F25" s="9" t="s">
        <v>69</v>
      </c>
      <c r="G25" s="9" t="s">
        <v>21</v>
      </c>
      <c r="H25" s="9" t="s">
        <v>41</v>
      </c>
      <c r="I25" s="9">
        <v>60.339999999999996</v>
      </c>
      <c r="J25" s="9">
        <v>7</v>
      </c>
      <c r="K25" s="10">
        <v>15.688400000000001</v>
      </c>
    </row>
    <row r="27" spans="1:11" ht="18" x14ac:dyDescent="0.35">
      <c r="B27" s="13" t="s">
        <v>83</v>
      </c>
      <c r="C27" s="13"/>
      <c r="D27" s="13"/>
      <c r="E27" s="13"/>
      <c r="F27" s="13"/>
      <c r="G27" s="13"/>
    </row>
    <row r="47" spans="2:7" ht="18" x14ac:dyDescent="0.35">
      <c r="B47" s="13" t="s">
        <v>84</v>
      </c>
      <c r="C47" s="13"/>
      <c r="D47" s="13"/>
      <c r="E47" s="13"/>
      <c r="F47" s="13"/>
      <c r="G47" s="12"/>
    </row>
    <row r="48" spans="2:7" ht="15" thickBot="1" x14ac:dyDescent="0.35"/>
    <row r="49" spans="2:4" ht="21.6" thickBot="1" x14ac:dyDescent="0.45">
      <c r="B49" s="2" t="s">
        <v>6</v>
      </c>
      <c r="C49" s="2" t="s">
        <v>8</v>
      </c>
      <c r="D49" s="3" t="s">
        <v>10</v>
      </c>
    </row>
    <row r="50" spans="2:4" x14ac:dyDescent="0.3">
      <c r="B50" t="s">
        <v>14</v>
      </c>
      <c r="C50">
        <v>261.95999999999998</v>
      </c>
      <c r="D50" s="6">
        <v>41.913600000000002</v>
      </c>
    </row>
    <row r="51" spans="2:4" x14ac:dyDescent="0.3">
      <c r="B51" t="s">
        <v>14</v>
      </c>
      <c r="C51">
        <v>731.93999999999994</v>
      </c>
      <c r="D51" s="6">
        <v>219.58199999999997</v>
      </c>
    </row>
    <row r="52" spans="2:4" x14ac:dyDescent="0.3">
      <c r="B52" t="s">
        <v>21</v>
      </c>
      <c r="C52">
        <v>14.62</v>
      </c>
      <c r="D52" s="6">
        <v>6.8713999999999995</v>
      </c>
    </row>
    <row r="53" spans="2:4" x14ac:dyDescent="0.3">
      <c r="B53" t="s">
        <v>14</v>
      </c>
      <c r="C53">
        <v>957.57749999999999</v>
      </c>
      <c r="D53" s="6">
        <v>-383.03100000000006</v>
      </c>
    </row>
    <row r="54" spans="2:4" x14ac:dyDescent="0.3">
      <c r="B54" t="s">
        <v>21</v>
      </c>
      <c r="C54">
        <v>22.368000000000002</v>
      </c>
      <c r="D54" s="6">
        <v>2.5163999999999991</v>
      </c>
    </row>
    <row r="55" spans="2:4" x14ac:dyDescent="0.3">
      <c r="B55" t="s">
        <v>14</v>
      </c>
      <c r="C55">
        <v>48.86</v>
      </c>
      <c r="D55" s="6">
        <v>14.169399999999996</v>
      </c>
    </row>
    <row r="56" spans="2:4" x14ac:dyDescent="0.3">
      <c r="B56" t="s">
        <v>21</v>
      </c>
      <c r="C56">
        <v>7.28</v>
      </c>
      <c r="D56" s="6">
        <v>1.9656000000000002</v>
      </c>
    </row>
    <row r="57" spans="2:4" x14ac:dyDescent="0.3">
      <c r="B57" t="s">
        <v>36</v>
      </c>
      <c r="C57">
        <v>907.15200000000004</v>
      </c>
      <c r="D57" s="6">
        <v>90.715200000000038</v>
      </c>
    </row>
    <row r="58" spans="2:4" x14ac:dyDescent="0.3">
      <c r="B58" t="s">
        <v>21</v>
      </c>
      <c r="C58">
        <v>18.504000000000001</v>
      </c>
      <c r="D58" s="6">
        <v>5.7824999999999998</v>
      </c>
    </row>
    <row r="59" spans="2:4" x14ac:dyDescent="0.3">
      <c r="B59" t="s">
        <v>21</v>
      </c>
      <c r="C59">
        <v>114.9</v>
      </c>
      <c r="D59" s="6">
        <v>34.469999999999992</v>
      </c>
    </row>
    <row r="60" spans="2:4" x14ac:dyDescent="0.3">
      <c r="B60" t="s">
        <v>14</v>
      </c>
      <c r="C60">
        <v>1706.1840000000002</v>
      </c>
      <c r="D60" s="6">
        <v>85.309199999999805</v>
      </c>
    </row>
    <row r="61" spans="2:4" x14ac:dyDescent="0.3">
      <c r="B61" t="s">
        <v>36</v>
      </c>
      <c r="C61">
        <v>911.42399999999998</v>
      </c>
      <c r="D61" s="6">
        <v>68.356800000000021</v>
      </c>
    </row>
    <row r="62" spans="2:4" x14ac:dyDescent="0.3">
      <c r="B62" t="s">
        <v>21</v>
      </c>
      <c r="C62">
        <v>15.552000000000003</v>
      </c>
      <c r="D62" s="6">
        <v>5.4432</v>
      </c>
    </row>
    <row r="63" spans="2:4" x14ac:dyDescent="0.3">
      <c r="B63" t="s">
        <v>21</v>
      </c>
      <c r="C63">
        <v>407.97600000000006</v>
      </c>
      <c r="D63" s="6">
        <v>132.59219999999993</v>
      </c>
    </row>
    <row r="64" spans="2:4" x14ac:dyDescent="0.3">
      <c r="B64" t="s">
        <v>21</v>
      </c>
      <c r="C64">
        <v>68.809999999999988</v>
      </c>
      <c r="D64" s="6">
        <v>-123.858</v>
      </c>
    </row>
    <row r="65" spans="2:4" x14ac:dyDescent="0.3">
      <c r="B65" t="s">
        <v>21</v>
      </c>
      <c r="C65">
        <v>2.5439999999999996</v>
      </c>
      <c r="D65" s="6">
        <v>-3.8160000000000016</v>
      </c>
    </row>
    <row r="66" spans="2:4" x14ac:dyDescent="0.3">
      <c r="B66" t="s">
        <v>21</v>
      </c>
      <c r="C66">
        <v>665.88</v>
      </c>
      <c r="D66" s="6">
        <v>13.317599999999999</v>
      </c>
    </row>
    <row r="67" spans="2:4" x14ac:dyDescent="0.3">
      <c r="B67" t="s">
        <v>21</v>
      </c>
      <c r="C67">
        <v>55.5</v>
      </c>
      <c r="D67" s="6">
        <v>9.9899999999999949</v>
      </c>
    </row>
    <row r="68" spans="2:4" x14ac:dyDescent="0.3">
      <c r="B68" t="s">
        <v>21</v>
      </c>
      <c r="C68">
        <v>8.56</v>
      </c>
      <c r="D68" s="6">
        <v>2.4823999999999993</v>
      </c>
    </row>
    <row r="69" spans="2:4" x14ac:dyDescent="0.3">
      <c r="B69" t="s">
        <v>36</v>
      </c>
      <c r="C69">
        <v>213.48000000000002</v>
      </c>
      <c r="D69" s="6">
        <v>16.010999999999981</v>
      </c>
    </row>
    <row r="70" spans="2:4" x14ac:dyDescent="0.3">
      <c r="B70" t="s">
        <v>21</v>
      </c>
      <c r="C70">
        <v>22.72</v>
      </c>
      <c r="D70" s="6">
        <v>7.3839999999999986</v>
      </c>
    </row>
    <row r="71" spans="2:4" x14ac:dyDescent="0.3">
      <c r="B71" t="s">
        <v>21</v>
      </c>
      <c r="C71">
        <v>19.459999999999997</v>
      </c>
      <c r="D71" s="6">
        <v>5.0595999999999997</v>
      </c>
    </row>
    <row r="72" spans="2:4" ht="15" thickBot="1" x14ac:dyDescent="0.35">
      <c r="B72" s="9" t="s">
        <v>21</v>
      </c>
      <c r="C72" s="9">
        <v>60.339999999999996</v>
      </c>
      <c r="D72" s="10">
        <v>15.688400000000001</v>
      </c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Q2 CHARTS</vt:lpstr>
      <vt:lpstr>Q1 CHARTS</vt:lpstr>
      <vt:lpstr>Q3 CHARTS</vt:lpstr>
      <vt:lpstr>Q4 CHARTS</vt:lpstr>
      <vt:lpstr>Q7 CHARTS</vt:lpstr>
      <vt:lpstr>Q8 CHARTS</vt:lpstr>
      <vt:lpstr>DATA VALIDATION</vt:lpstr>
      <vt:lpstr>Q1.2 FORECAST</vt:lpstr>
      <vt:lpstr> Q1 FORECAST</vt:lpstr>
      <vt:lpstr>Q2.2 FORECAST</vt:lpstr>
      <vt:lpstr>GOAL SEEK</vt:lpstr>
      <vt:lpstr> Q1, Q2 Scenario Summary</vt:lpstr>
      <vt:lpstr>  Q3,Q4 Scenario Summary</vt:lpstr>
      <vt:lpstr>SECNARIO MANAGER DATA</vt:lpstr>
      <vt:lpstr>Q2 FORECAST</vt:lpstr>
      <vt:lpstr>DATA SHEET</vt:lpstr>
      <vt:lpstr>Q5 , Q6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SHAIKH</dc:creator>
  <cp:lastModifiedBy>ABDULLAH SHAIKH</cp:lastModifiedBy>
  <dcterms:created xsi:type="dcterms:W3CDTF">2025-12-15T15:52:08Z</dcterms:created>
  <dcterms:modified xsi:type="dcterms:W3CDTF">2025-12-17T15:47:21Z</dcterms:modified>
</cp:coreProperties>
</file>