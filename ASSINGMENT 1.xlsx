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firstSheet="1" activeTab="8"/>
  </bookViews>
  <sheets>
    <sheet name="City_and_State" sheetId="2" r:id="rId1"/>
    <sheet name="VlookUp" sheetId="1" r:id="rId2"/>
    <sheet name="Hookup" sheetId="3" r:id="rId3"/>
    <sheet name="Sales_data_set" sheetId="4" r:id="rId4"/>
    <sheet name="cansole1" sheetId="5" r:id="rId5"/>
    <sheet name="cansole2" sheetId="6" r:id="rId6"/>
    <sheet name="cansole3" sheetId="7" r:id="rId7"/>
    <sheet name="Cansolidate" sheetId="8" r:id="rId8"/>
    <sheet name="Match" sheetId="9" r:id="rId9"/>
  </sheets>
  <definedNames>
    <definedName name="Employee">VlookUp!$A$3:$A$18</definedName>
    <definedName name="EMPLOYEE_2">Hookup!$B$35:$P$35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<sst xmlns="http://schemas.openxmlformats.org/spreadsheetml/2006/main" count="320" uniqueCount="115">
  <si>
    <t>City</t>
  </si>
  <si>
    <t>State</t>
  </si>
  <si>
    <t>Mumbai</t>
  </si>
  <si>
    <t>Maharashtra</t>
  </si>
  <si>
    <t>Udaipur</t>
  </si>
  <si>
    <t>Rajasthan</t>
  </si>
  <si>
    <t>Lucknow</t>
  </si>
  <si>
    <t>UP</t>
  </si>
  <si>
    <t>Surat</t>
  </si>
  <si>
    <t>Banaras</t>
  </si>
  <si>
    <t>Indore</t>
  </si>
  <si>
    <t>Pune</t>
  </si>
  <si>
    <t>Bhopal</t>
  </si>
  <si>
    <t>Jyotpur</t>
  </si>
  <si>
    <t>Ahmdabaad</t>
  </si>
  <si>
    <t>Gorakhpur</t>
  </si>
  <si>
    <t>Gujrat</t>
  </si>
  <si>
    <t>MP</t>
  </si>
  <si>
    <t>Name</t>
  </si>
  <si>
    <t>Age</t>
  </si>
  <si>
    <t>Salary</t>
  </si>
  <si>
    <t>TDS 3%</t>
  </si>
  <si>
    <t>Pass Out Year</t>
  </si>
  <si>
    <t>Ramesh</t>
  </si>
  <si>
    <t>Select the entire range or dataset and Name it as a "Employee" from Name Box.</t>
  </si>
  <si>
    <t>Mahesh</t>
  </si>
  <si>
    <t>Remove the blank columns at once.</t>
  </si>
  <si>
    <t>Suresh</t>
  </si>
  <si>
    <t>Make the headers as bold and also make the background light blue.</t>
  </si>
  <si>
    <t>Jayesh</t>
  </si>
  <si>
    <t>Give a border to the dataset ( or range).</t>
  </si>
  <si>
    <t>Jitesh</t>
  </si>
  <si>
    <r>
      <rPr>
        <sz val="11"/>
        <color theme="1"/>
        <rFont val="Calibri"/>
        <charset val="134"/>
        <scheme val="minor"/>
      </rPr>
      <t xml:space="preserve">Change the font size of headers at once to </t>
    </r>
    <r>
      <rPr>
        <b/>
        <sz val="11"/>
        <color theme="1"/>
        <rFont val="Calibri"/>
        <charset val="134"/>
        <scheme val="minor"/>
      </rPr>
      <t>16</t>
    </r>
    <r>
      <rPr>
        <sz val="11"/>
        <color theme="1"/>
        <rFont val="Calibri"/>
        <charset val="134"/>
        <scheme val="minor"/>
      </rPr>
      <t>.</t>
    </r>
  </si>
  <si>
    <t xml:space="preserve">  </t>
  </si>
  <si>
    <t>Gitesh</t>
  </si>
  <si>
    <t>Change the Data to there respected data-type of each column. (e.g. Name is should be "Text")</t>
  </si>
  <si>
    <t>kamlesh</t>
  </si>
  <si>
    <t xml:space="preserve">Column </t>
  </si>
  <si>
    <t>Data Type</t>
  </si>
  <si>
    <t>Hitesh</t>
  </si>
  <si>
    <t>Text</t>
  </si>
  <si>
    <t>Jay</t>
  </si>
  <si>
    <t xml:space="preserve">Age </t>
  </si>
  <si>
    <t>Number</t>
  </si>
  <si>
    <t>(* with no decimal values)</t>
  </si>
  <si>
    <t>ajay</t>
  </si>
  <si>
    <t>Accounts</t>
  </si>
  <si>
    <t>Rajesh</t>
  </si>
  <si>
    <t xml:space="preserve">City </t>
  </si>
  <si>
    <t>Sujay</t>
  </si>
  <si>
    <t>Sanjay</t>
  </si>
  <si>
    <t>Dhananjay</t>
  </si>
  <si>
    <t>Highlight the entire rows whose age is less then 30 in red color.</t>
  </si>
  <si>
    <t>Nirjay</t>
  </si>
  <si>
    <t>Find the TDS 3% of salary for each person.</t>
  </si>
  <si>
    <t>Use the City_and_State sheet and fill the Sate column of current sheet using lookup.</t>
  </si>
  <si>
    <t>Handle the N/A or any other error if occure.</t>
  </si>
  <si>
    <t>Find the following data of "Gitesh" using Vlookup.</t>
  </si>
  <si>
    <t>Pass out Yr</t>
  </si>
  <si>
    <t>Go to "Data Set 1" and copy the entire data and paste by using Transpore property so the data should look like above.</t>
  </si>
  <si>
    <t>Remove the blank rows at once if any..</t>
  </si>
  <si>
    <t>Fill the State row use the "City_and_state" sheet while using lookup.</t>
  </si>
  <si>
    <t>Select the entire range or dataset and Name it as a "Employee_2" from Name Box.</t>
  </si>
  <si>
    <t>Bold the headers and also make the background light blue.</t>
  </si>
  <si>
    <t>Give a border to the dataset or range.</t>
  </si>
  <si>
    <t>Change the font size of headers at once.</t>
  </si>
  <si>
    <t>Highlight the entire rows whose age is less then 30.</t>
  </si>
  <si>
    <t>Find the following data of "Gitesh" using Hlookup.</t>
  </si>
  <si>
    <t>Sales</t>
  </si>
  <si>
    <t>Commission %</t>
  </si>
  <si>
    <t>Rating</t>
  </si>
  <si>
    <t>Min Range</t>
  </si>
  <si>
    <t>Max Range</t>
  </si>
  <si>
    <t>Above</t>
  </si>
  <si>
    <t>Use lookups.</t>
  </si>
  <si>
    <t>Base on sales range commission % and rating are give use above table and fill the data.</t>
  </si>
  <si>
    <t>Use Hlookup and fill the data.</t>
  </si>
  <si>
    <t>Sales of Finacial Year 2019-20</t>
  </si>
  <si>
    <t>Product</t>
  </si>
  <si>
    <t>Q1</t>
  </si>
  <si>
    <t>Q2</t>
  </si>
  <si>
    <t>Q3</t>
  </si>
  <si>
    <t>Q4</t>
  </si>
  <si>
    <t>Laptop</t>
  </si>
  <si>
    <t>Mobile</t>
  </si>
  <si>
    <t>Washing Machine</t>
  </si>
  <si>
    <t>Smart Watches</t>
  </si>
  <si>
    <t>Tabs</t>
  </si>
  <si>
    <t>Smart Pens</t>
  </si>
  <si>
    <t>Sales of Finacial Year 2018-19</t>
  </si>
  <si>
    <t>Sales of Finacial Year 2017-16</t>
  </si>
  <si>
    <t>Use the consolidate .</t>
  </si>
  <si>
    <t>Find the total sales of each product from year 17-16 to 19-18</t>
  </si>
  <si>
    <t>(i.e. from Cansole 1 to 3)</t>
  </si>
  <si>
    <t>Find the max sales of each product from year 17-16 to 19-19</t>
  </si>
  <si>
    <t>Find the min sales of each product from year 17-16 to 19-20</t>
  </si>
  <si>
    <t>Find the average sales of each product from year 17-16 to 19-21</t>
  </si>
  <si>
    <t xml:space="preserve">Note: </t>
  </si>
  <si>
    <t>In output header row and Product column should be there.</t>
  </si>
  <si>
    <r>
      <rPr>
        <sz val="11"/>
        <color theme="1"/>
        <rFont val="Calibri"/>
        <charset val="134"/>
        <scheme val="minor"/>
      </rPr>
      <t xml:space="preserve">If there will be any change in main data there should </t>
    </r>
    <r>
      <rPr>
        <b/>
        <sz val="11"/>
        <color theme="1"/>
        <rFont val="Calibri"/>
        <charset val="134"/>
        <scheme val="minor"/>
      </rPr>
      <t>not be change</t>
    </r>
    <r>
      <rPr>
        <sz val="11"/>
        <color theme="1"/>
        <rFont val="Calibri"/>
        <charset val="134"/>
        <scheme val="minor"/>
      </rPr>
      <t xml:space="preserve"> in consolidated data.</t>
    </r>
  </si>
  <si>
    <r>
      <rPr>
        <sz val="11"/>
        <color theme="1"/>
        <rFont val="Calibri"/>
        <charset val="134"/>
        <scheme val="minor"/>
      </rPr>
      <t xml:space="preserve">If there will be any change in main data set </t>
    </r>
    <r>
      <rPr>
        <b/>
        <sz val="11"/>
        <color theme="1"/>
        <rFont val="Calibri"/>
        <charset val="134"/>
        <scheme val="minor"/>
      </rPr>
      <t>change should be reflected</t>
    </r>
    <r>
      <rPr>
        <sz val="11"/>
        <color theme="1"/>
        <rFont val="Calibri"/>
        <charset val="134"/>
        <scheme val="minor"/>
      </rPr>
      <t xml:space="preserve"> in consolidated data.</t>
    </r>
  </si>
  <si>
    <t>Hint* :</t>
  </si>
  <si>
    <t>Will have 4 different table for each Question.</t>
  </si>
  <si>
    <t>SR NO</t>
  </si>
  <si>
    <t>TOTAL SALES</t>
  </si>
  <si>
    <t>MINIMUM SALES</t>
  </si>
  <si>
    <t>MAXIMUM SALES</t>
  </si>
  <si>
    <t>AVERAGE SALES</t>
  </si>
  <si>
    <t>QUATER</t>
  </si>
  <si>
    <t>What is the Column Number of Q1.</t>
  </si>
  <si>
    <t>What is the column number of Smart Watches.</t>
  </si>
  <si>
    <t>What is the column number of Q4.</t>
  </si>
  <si>
    <t>What is the row number of 43,003.</t>
  </si>
  <si>
    <t>What is the row number of Q4.</t>
  </si>
  <si>
    <t>SW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</si>
</sst>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(&quot;$&quot;* #,##0_);_(&quot;$&quot;* \(#,##0\);_(&quot;$&quot;* &quot;-&quot;??_);_(@_)"/>
    <numFmt numFmtId="181" formatCode="0_);[Red]\(0\)"/>
    <numFmt numFmtId="182" formatCode="_ &quot;₹&quot;* #,##0_ ;_ &quot;₹&quot;* \-#,##0_ ;_ &quot;₹&quot;* &quot;-&quot;??_ ;_ @_ "/>
    <numFmt numFmtId="183" formatCode="dd/mm/yyyy;@"/>
  </numFmts>
  <fonts count="33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6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21" applyNumberFormat="0" applyAlignment="0" applyProtection="0">
      <alignment vertical="center"/>
    </xf>
    <xf numFmtId="0" fontId="23" fillId="12" borderId="22" applyNumberFormat="0" applyAlignment="0" applyProtection="0">
      <alignment vertical="center"/>
    </xf>
    <xf numFmtId="0" fontId="24" fillId="12" borderId="21" applyNumberFormat="0" applyAlignment="0" applyProtection="0">
      <alignment vertical="center"/>
    </xf>
    <xf numFmtId="0" fontId="25" fillId="13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180" fontId="1" fillId="2" borderId="1" xfId="0" applyNumberFormat="1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180" fontId="2" fillId="0" borderId="1" xfId="0" applyNumberFormat="1" applyFont="1" applyBorder="1" applyAlignment="1">
      <alignment horizontal="center" vertical="center"/>
    </xf>
    <xf numFmtId="0" fontId="0" fillId="5" borderId="1" xfId="0" applyFill="1" applyBorder="1">
      <alignment vertical="center"/>
    </xf>
    <xf numFmtId="3" fontId="0" fillId="5" borderId="1" xfId="0" applyNumberFormat="1" applyFill="1" applyBorder="1">
      <alignment vertical="center"/>
    </xf>
    <xf numFmtId="0" fontId="0" fillId="0" borderId="1" xfId="0" applyFont="1" applyBorder="1">
      <alignment vertical="center"/>
    </xf>
    <xf numFmtId="0" fontId="3" fillId="0" borderId="0" xfId="0" applyFo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>
      <alignment vertical="center"/>
    </xf>
    <xf numFmtId="0" fontId="0" fillId="5" borderId="7" xfId="0" applyFill="1" applyBorder="1" applyAlignment="1">
      <alignment horizontal="center" vertical="center"/>
    </xf>
    <xf numFmtId="0" fontId="4" fillId="5" borderId="1" xfId="0" applyFont="1" applyFill="1" applyBorder="1">
      <alignment vertical="center"/>
    </xf>
    <xf numFmtId="180" fontId="4" fillId="5" borderId="1" xfId="0" applyNumberFormat="1" applyFont="1" applyFill="1" applyBorder="1">
      <alignment vertical="center"/>
    </xf>
    <xf numFmtId="0" fontId="0" fillId="0" borderId="1" xfId="0" applyBorder="1">
      <alignment vertical="center"/>
    </xf>
    <xf numFmtId="180" fontId="4" fillId="5" borderId="1" xfId="0" applyNumberFormat="1" applyFont="1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180" fontId="1" fillId="2" borderId="8" xfId="0" applyNumberFormat="1" applyFont="1" applyFill="1" applyBorder="1" applyAlignment="1">
      <alignment horizontal="center" vertical="center"/>
    </xf>
    <xf numFmtId="180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80" fontId="2" fillId="3" borderId="7" xfId="0" applyNumberFormat="1" applyFont="1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80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9" xfId="0" applyFont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7" fillId="2" borderId="1" xfId="0" applyFont="1" applyFill="1" applyBorder="1">
      <alignment vertical="center"/>
    </xf>
    <xf numFmtId="180" fontId="9" fillId="0" borderId="1" xfId="0" applyNumberFormat="1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9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6" borderId="0" xfId="0" applyFill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10" fillId="0" borderId="0" xfId="0" applyFont="1">
      <alignment vertical="center"/>
    </xf>
    <xf numFmtId="0" fontId="7" fillId="7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0" fillId="8" borderId="2" xfId="0" applyFill="1" applyBorder="1" applyAlignment="1">
      <alignment horizontal="center" vertical="center"/>
    </xf>
    <xf numFmtId="0" fontId="7" fillId="7" borderId="7" xfId="0" applyFont="1" applyFill="1" applyBorder="1" applyAlignment="1">
      <alignment horizontal="left" vertical="center"/>
    </xf>
    <xf numFmtId="0" fontId="0" fillId="8" borderId="7" xfId="0" applyFill="1" applyBorder="1" applyAlignment="1">
      <alignment horizontal="center" vertical="center"/>
    </xf>
    <xf numFmtId="49" fontId="11" fillId="5" borderId="1" xfId="0" applyNumberFormat="1" applyFont="1" applyFill="1" applyBorder="1">
      <alignment vertical="center"/>
    </xf>
    <xf numFmtId="49" fontId="0" fillId="0" borderId="1" xfId="0" applyNumberFormat="1" applyFont="1" applyBorder="1">
      <alignment vertical="center"/>
    </xf>
    <xf numFmtId="181" fontId="0" fillId="0" borderId="1" xfId="0" applyNumberFormat="1" applyBorder="1">
      <alignment vertical="center"/>
    </xf>
    <xf numFmtId="182" fontId="0" fillId="0" borderId="1" xfId="0" applyNumberFormat="1" applyBorder="1">
      <alignment vertical="center"/>
    </xf>
    <xf numFmtId="183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181" fontId="0" fillId="0" borderId="1" xfId="0" applyNumberFormat="1" applyBorder="1">
      <alignment vertical="center"/>
    </xf>
    <xf numFmtId="182" fontId="0" fillId="0" borderId="1" xfId="0" applyNumberFormat="1" applyBorder="1">
      <alignment vertical="center"/>
    </xf>
    <xf numFmtId="183" fontId="0" fillId="0" borderId="1" xfId="0" applyNumberFormat="1" applyBorder="1">
      <alignment vertical="center"/>
    </xf>
    <xf numFmtId="0" fontId="12" fillId="2" borderId="1" xfId="0" applyFont="1" applyFill="1" applyBorder="1">
      <alignment vertical="center"/>
    </xf>
    <xf numFmtId="49" fontId="13" fillId="9" borderId="1" xfId="0" applyNumberFormat="1" applyFont="1" applyFill="1" applyBorder="1">
      <alignment vertical="center"/>
    </xf>
    <xf numFmtId="1" fontId="0" fillId="9" borderId="1" xfId="0" applyNumberFormat="1" applyFill="1" applyBorder="1">
      <alignment vertical="center"/>
    </xf>
    <xf numFmtId="180" fontId="0" fillId="9" borderId="1" xfId="0" applyNumberFormat="1" applyFill="1" applyBorder="1">
      <alignment vertical="center"/>
    </xf>
    <xf numFmtId="49" fontId="0" fillId="9" borderId="1" xfId="0" applyNumberFormat="1" applyFill="1" applyBorder="1">
      <alignment vertical="center"/>
    </xf>
    <xf numFmtId="0" fontId="0" fillId="9" borderId="1" xfId="0" applyFill="1" applyBorder="1">
      <alignment vertical="center"/>
    </xf>
    <xf numFmtId="0" fontId="7" fillId="7" borderId="1" xfId="0" applyFont="1" applyFill="1" applyBorder="1">
      <alignment vertical="center"/>
    </xf>
    <xf numFmtId="0" fontId="5" fillId="6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ill>
        <patternFill patternType="solid">
          <bgColor theme="7" tint="0.599993896298105"/>
        </patternFill>
      </fill>
    </dxf>
    <dxf>
      <fill>
        <patternFill patternType="solid">
          <bgColor theme="4" tint="-0.49998474074526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T14"/>
  <sheetViews>
    <sheetView topLeftCell="B1" workbookViewId="0">
      <selection activeCell="I6" sqref="I6:T7"/>
    </sheetView>
  </sheetViews>
  <sheetFormatPr defaultColWidth="9.14285714285714" defaultRowHeight="15"/>
  <cols>
    <col min="1" max="1" width="12.4285714285714" customWidth="1"/>
    <col min="2" max="2" width="12.8571428571429" customWidth="1"/>
    <col min="4" max="4" width="12.4285714285714" customWidth="1"/>
    <col min="5" max="5" width="12.8571428571429" customWidth="1"/>
  </cols>
  <sheetData>
    <row r="3" ht="21" spans="4:5">
      <c r="D3" s="77" t="s">
        <v>0</v>
      </c>
      <c r="E3" s="77" t="s">
        <v>1</v>
      </c>
    </row>
    <row r="4" spans="4:5">
      <c r="D4" s="3" t="s">
        <v>2</v>
      </c>
      <c r="E4" s="3" t="s">
        <v>3</v>
      </c>
    </row>
    <row r="5" spans="4:5">
      <c r="D5" s="3" t="s">
        <v>4</v>
      </c>
      <c r="E5" s="3" t="s">
        <v>5</v>
      </c>
    </row>
    <row r="6" ht="21" spans="4:20">
      <c r="D6" s="3" t="s">
        <v>6</v>
      </c>
      <c r="E6" s="3" t="s">
        <v>7</v>
      </c>
      <c r="I6" s="77" t="s">
        <v>0</v>
      </c>
      <c r="J6" s="3" t="s">
        <v>2</v>
      </c>
      <c r="K6" s="3" t="s">
        <v>4</v>
      </c>
      <c r="L6" s="3" t="s">
        <v>6</v>
      </c>
      <c r="M6" s="3" t="s">
        <v>8</v>
      </c>
      <c r="N6" s="3" t="s">
        <v>9</v>
      </c>
      <c r="O6" s="3" t="s">
        <v>10</v>
      </c>
      <c r="P6" s="3" t="s">
        <v>11</v>
      </c>
      <c r="Q6" s="3" t="s">
        <v>12</v>
      </c>
      <c r="R6" s="3" t="s">
        <v>13</v>
      </c>
      <c r="S6" s="3" t="s">
        <v>14</v>
      </c>
      <c r="T6" s="3" t="s">
        <v>15</v>
      </c>
    </row>
    <row r="7" ht="21" spans="4:20">
      <c r="D7" s="3" t="s">
        <v>8</v>
      </c>
      <c r="E7" s="3" t="s">
        <v>16</v>
      </c>
      <c r="I7" s="77" t="s">
        <v>1</v>
      </c>
      <c r="J7" s="3" t="s">
        <v>3</v>
      </c>
      <c r="K7" s="3" t="s">
        <v>5</v>
      </c>
      <c r="L7" s="3" t="s">
        <v>7</v>
      </c>
      <c r="M7" s="3" t="s">
        <v>16</v>
      </c>
      <c r="N7" s="3" t="s">
        <v>7</v>
      </c>
      <c r="O7" s="3" t="s">
        <v>17</v>
      </c>
      <c r="P7" s="3" t="s">
        <v>3</v>
      </c>
      <c r="Q7" s="3" t="s">
        <v>17</v>
      </c>
      <c r="R7" s="3" t="s">
        <v>5</v>
      </c>
      <c r="S7" s="3" t="s">
        <v>16</v>
      </c>
      <c r="T7" s="3" t="s">
        <v>7</v>
      </c>
    </row>
    <row r="8" spans="4:5">
      <c r="D8" s="3" t="s">
        <v>9</v>
      </c>
      <c r="E8" s="3" t="s">
        <v>7</v>
      </c>
    </row>
    <row r="9" spans="4:5">
      <c r="D9" s="3" t="s">
        <v>10</v>
      </c>
      <c r="E9" s="3" t="s">
        <v>17</v>
      </c>
    </row>
    <row r="10" spans="4:5">
      <c r="D10" s="3" t="s">
        <v>11</v>
      </c>
      <c r="E10" s="3" t="s">
        <v>3</v>
      </c>
    </row>
    <row r="11" spans="4:5">
      <c r="D11" s="3" t="s">
        <v>12</v>
      </c>
      <c r="E11" s="3" t="s">
        <v>17</v>
      </c>
    </row>
    <row r="12" spans="4:5">
      <c r="D12" s="3" t="s">
        <v>13</v>
      </c>
      <c r="E12" s="3" t="s">
        <v>5</v>
      </c>
    </row>
    <row r="13" spans="4:5">
      <c r="D13" s="3" t="s">
        <v>14</v>
      </c>
      <c r="E13" s="3" t="s">
        <v>16</v>
      </c>
    </row>
    <row r="14" spans="4:5">
      <c r="D14" s="3" t="s">
        <v>15</v>
      </c>
      <c r="E14" s="3" t="s">
        <v>7</v>
      </c>
    </row>
  </sheetData>
  <conditionalFormatting sqref="D4:E4">
    <cfRule type="expression" dxfId="0" priority="5">
      <formula>OR($D2="Mumbai",$E2&gt;60000)</formula>
    </cfRule>
    <cfRule type="expression" dxfId="1" priority="6">
      <formula>OR(#REF!="Mumbai",#REF!&gt;60000)</formula>
    </cfRule>
  </conditionalFormatting>
  <conditionalFormatting sqref="J6:J7">
    <cfRule type="expression" dxfId="1" priority="2">
      <formula>OR(#REF!="Mumbai",#REF!&gt;60000)</formula>
    </cfRule>
    <cfRule type="expression" dxfId="0" priority="1">
      <formula>OR($D4="Mumbai",$E4&gt;60000)</formula>
    </cfRule>
  </conditionalFormatting>
  <conditionalFormatting sqref="D5:E14">
    <cfRule type="expression" dxfId="0" priority="7">
      <formula>OR(#REF!="Mumbai",#REF!&gt;60000)</formula>
    </cfRule>
    <cfRule type="expression" dxfId="1" priority="8">
      <formula>OR($D15="Mumbai",$E15&gt;60000)</formula>
    </cfRule>
  </conditionalFormatting>
  <conditionalFormatting sqref="K6:T7">
    <cfRule type="expression" dxfId="1" priority="4">
      <formula>OR($D16="Mumbai",$E16&gt;60000)</formula>
    </cfRule>
    <cfRule type="expression" dxfId="0" priority="3">
      <formula>OR(#REF!="Mumbai",#REF!&gt;60000)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29"/>
  <sheetViews>
    <sheetView topLeftCell="A15" workbookViewId="0">
      <selection activeCell="A3" sqref="A3:A18"/>
    </sheetView>
  </sheetViews>
  <sheetFormatPr defaultColWidth="9.14285714285714" defaultRowHeight="15"/>
  <cols>
    <col min="1" max="1" width="11" customWidth="1"/>
    <col min="2" max="2" width="7.85714285714286" customWidth="1"/>
    <col min="3" max="3" width="14.7142857142857" customWidth="1"/>
    <col min="4" max="4" width="15.8571428571429" customWidth="1"/>
    <col min="5" max="5" width="19.8571428571429" customWidth="1"/>
    <col min="6" max="6" width="17.8571428571429" customWidth="1"/>
    <col min="7" max="7" width="15.7142857142857" customWidth="1"/>
    <col min="10" max="10" width="13.7142857142857" customWidth="1"/>
    <col min="11" max="11" width="11.2857142857143" customWidth="1"/>
  </cols>
  <sheetData>
    <row r="2" ht="21" spans="1:7">
      <c r="A2" s="70" t="s">
        <v>18</v>
      </c>
      <c r="B2" s="70" t="s">
        <v>19</v>
      </c>
      <c r="C2" s="70" t="s">
        <v>20</v>
      </c>
      <c r="D2" s="70" t="s">
        <v>21</v>
      </c>
      <c r="E2" s="70" t="s">
        <v>22</v>
      </c>
      <c r="F2" s="70" t="s">
        <v>0</v>
      </c>
      <c r="G2" s="70" t="s">
        <v>1</v>
      </c>
    </row>
    <row r="3" spans="1:18">
      <c r="A3" s="71" t="s">
        <v>23</v>
      </c>
      <c r="B3" s="72">
        <v>21</v>
      </c>
      <c r="C3" s="73">
        <v>25800</v>
      </c>
      <c r="D3" s="73">
        <f>3%*C3</f>
        <v>774</v>
      </c>
      <c r="E3" s="72">
        <v>2016</v>
      </c>
      <c r="F3" s="74" t="s">
        <v>2</v>
      </c>
      <c r="G3" s="75" t="str">
        <f>VLOOKUP(VlookUp!F3,City_and_State!$D$4:$E$14,2,FALSE)</f>
        <v>Maharashtra</v>
      </c>
      <c r="J3" s="47" t="s">
        <v>24</v>
      </c>
      <c r="K3" s="47"/>
      <c r="L3" s="47"/>
      <c r="M3" s="47"/>
      <c r="N3" s="47"/>
      <c r="O3" s="47"/>
      <c r="P3" s="47"/>
      <c r="Q3" s="47"/>
      <c r="R3" s="47"/>
    </row>
    <row r="4" spans="1:18">
      <c r="A4" s="74" t="s">
        <v>25</v>
      </c>
      <c r="B4" s="72">
        <v>43</v>
      </c>
      <c r="C4" s="73">
        <v>73000</v>
      </c>
      <c r="D4" s="73">
        <f t="shared" ref="D4:D18" si="0">3%*C4</f>
        <v>2190</v>
      </c>
      <c r="E4" s="72">
        <v>2014</v>
      </c>
      <c r="F4" s="74" t="s">
        <v>4</v>
      </c>
      <c r="G4" s="75" t="str">
        <f>VLOOKUP(VlookUp!F4,City_and_State!$D$4:$E$14,2,FALSE)</f>
        <v>Rajasthan</v>
      </c>
      <c r="J4" s="47" t="s">
        <v>26</v>
      </c>
      <c r="K4" s="47"/>
      <c r="L4" s="47"/>
      <c r="M4" s="47"/>
      <c r="N4" s="47"/>
      <c r="O4" s="47"/>
      <c r="P4" s="47"/>
      <c r="Q4" s="47"/>
      <c r="R4" s="47"/>
    </row>
    <row r="5" spans="1:18">
      <c r="A5" s="74" t="s">
        <v>27</v>
      </c>
      <c r="B5" s="72">
        <v>32</v>
      </c>
      <c r="C5" s="73">
        <v>54999</v>
      </c>
      <c r="D5" s="73">
        <f t="shared" si="0"/>
        <v>1649.97</v>
      </c>
      <c r="E5" s="72">
        <v>2016</v>
      </c>
      <c r="F5" s="74" t="s">
        <v>6</v>
      </c>
      <c r="G5" s="75" t="str">
        <f>VLOOKUP(VlookUp!F5,City_and_State!$D$4:$E$14,2,FALSE)</f>
        <v>UP</v>
      </c>
      <c r="J5" s="47" t="s">
        <v>28</v>
      </c>
      <c r="K5" s="47"/>
      <c r="L5" s="47"/>
      <c r="M5" s="47"/>
      <c r="N5" s="47"/>
      <c r="O5" s="47"/>
      <c r="P5" s="47"/>
      <c r="Q5" s="47"/>
      <c r="R5" s="47"/>
    </row>
    <row r="6" spans="1:18">
      <c r="A6" s="74" t="s">
        <v>29</v>
      </c>
      <c r="B6" s="72">
        <v>24</v>
      </c>
      <c r="C6" s="73">
        <v>45969</v>
      </c>
      <c r="D6" s="73">
        <f t="shared" si="0"/>
        <v>1379.07</v>
      </c>
      <c r="E6" s="72">
        <v>2017</v>
      </c>
      <c r="F6" s="74" t="s">
        <v>8</v>
      </c>
      <c r="G6" s="75" t="str">
        <f>VLOOKUP(VlookUp!F6,City_and_State!$D$4:$E$14,2,FALSE)</f>
        <v>Gujrat</v>
      </c>
      <c r="J6" s="47" t="s">
        <v>30</v>
      </c>
      <c r="K6" s="47"/>
      <c r="L6" s="47"/>
      <c r="M6" s="47"/>
      <c r="N6" s="47"/>
      <c r="O6" s="47"/>
      <c r="P6" s="47"/>
      <c r="Q6" s="47"/>
      <c r="R6" s="47"/>
    </row>
    <row r="7" spans="1:18">
      <c r="A7" s="74" t="s">
        <v>31</v>
      </c>
      <c r="B7" s="72">
        <v>43</v>
      </c>
      <c r="C7" s="73">
        <v>65999</v>
      </c>
      <c r="D7" s="73">
        <f t="shared" si="0"/>
        <v>1979.97</v>
      </c>
      <c r="E7" s="72">
        <v>2014</v>
      </c>
      <c r="F7" s="74" t="s">
        <v>9</v>
      </c>
      <c r="G7" s="75" t="str">
        <f>VLOOKUP(VlookUp!F7,City_and_State!$D$4:$E$14,2,FALSE)</f>
        <v>UP</v>
      </c>
      <c r="J7" s="47" t="s">
        <v>32</v>
      </c>
      <c r="K7" s="47"/>
      <c r="L7" s="47"/>
      <c r="M7" s="47"/>
      <c r="N7" s="47"/>
      <c r="O7" s="47"/>
      <c r="P7" s="47" t="s">
        <v>33</v>
      </c>
      <c r="Q7" s="47"/>
      <c r="R7" s="47"/>
    </row>
    <row r="8" spans="1:18">
      <c r="A8" s="74" t="s">
        <v>34</v>
      </c>
      <c r="B8" s="72">
        <v>34</v>
      </c>
      <c r="C8" s="73">
        <v>85000</v>
      </c>
      <c r="D8" s="73">
        <f t="shared" si="0"/>
        <v>2550</v>
      </c>
      <c r="E8" s="72">
        <v>2016</v>
      </c>
      <c r="F8" s="74" t="s">
        <v>10</v>
      </c>
      <c r="G8" s="75" t="str">
        <f>VLOOKUP(VlookUp!F8,City_and_State!$D$4:$E$14,2,FALSE)</f>
        <v>MP</v>
      </c>
      <c r="J8" s="47" t="s">
        <v>35</v>
      </c>
      <c r="K8" s="47"/>
      <c r="L8" s="47"/>
      <c r="M8" s="47"/>
      <c r="N8" s="47"/>
      <c r="O8" s="47"/>
      <c r="P8" s="47"/>
      <c r="Q8" s="47"/>
      <c r="R8" s="47"/>
    </row>
    <row r="9" spans="1:12">
      <c r="A9" s="74" t="s">
        <v>36</v>
      </c>
      <c r="B9" s="72">
        <v>32</v>
      </c>
      <c r="C9" s="73">
        <v>55869</v>
      </c>
      <c r="D9" s="73">
        <f t="shared" si="0"/>
        <v>1676.07</v>
      </c>
      <c r="E9" s="72">
        <v>2016</v>
      </c>
      <c r="F9" s="74" t="s">
        <v>2</v>
      </c>
      <c r="G9" s="75" t="str">
        <f>VLOOKUP(VlookUp!F9,City_and_State!$D$4:$E$14,2,FALSE)</f>
        <v>Maharashtra</v>
      </c>
      <c r="K9" s="48" t="s">
        <v>37</v>
      </c>
      <c r="L9" s="48" t="s">
        <v>38</v>
      </c>
    </row>
    <row r="10" spans="1:12">
      <c r="A10" s="74" t="s">
        <v>39</v>
      </c>
      <c r="B10" s="72">
        <v>43</v>
      </c>
      <c r="C10" s="73">
        <v>58399</v>
      </c>
      <c r="D10" s="73">
        <f t="shared" si="0"/>
        <v>1751.97</v>
      </c>
      <c r="E10" s="72">
        <v>2014</v>
      </c>
      <c r="F10" s="74" t="s">
        <v>11</v>
      </c>
      <c r="G10" s="75" t="str">
        <f>VLOOKUP(VlookUp!F10,City_and_State!$D$4:$E$14,2,FALSE)</f>
        <v>Maharashtra</v>
      </c>
      <c r="K10" s="49" t="s">
        <v>18</v>
      </c>
      <c r="L10" s="49" t="s">
        <v>40</v>
      </c>
    </row>
    <row r="11" spans="1:13">
      <c r="A11" s="74" t="s">
        <v>41</v>
      </c>
      <c r="B11" s="72">
        <v>23</v>
      </c>
      <c r="C11" s="73">
        <v>45858</v>
      </c>
      <c r="D11" s="73">
        <f t="shared" si="0"/>
        <v>1375.74</v>
      </c>
      <c r="E11" s="72">
        <v>2019</v>
      </c>
      <c r="F11" s="74" t="s">
        <v>12</v>
      </c>
      <c r="G11" s="75" t="str">
        <f>VLOOKUP(VlookUp!F11,City_and_State!$D$4:$E$14,2,FALSE)</f>
        <v>MP</v>
      </c>
      <c r="K11" s="49" t="s">
        <v>42</v>
      </c>
      <c r="L11" s="49" t="s">
        <v>43</v>
      </c>
      <c r="M11" s="50" t="s">
        <v>44</v>
      </c>
    </row>
    <row r="12" spans="1:12">
      <c r="A12" s="74" t="s">
        <v>45</v>
      </c>
      <c r="B12" s="72">
        <v>25</v>
      </c>
      <c r="C12" s="73">
        <v>46899</v>
      </c>
      <c r="D12" s="73">
        <f t="shared" si="0"/>
        <v>1406.97</v>
      </c>
      <c r="E12" s="72">
        <v>2019</v>
      </c>
      <c r="F12" s="74" t="s">
        <v>10</v>
      </c>
      <c r="G12" s="75" t="str">
        <f>VLOOKUP(VlookUp!F12,City_and_State!$D$4:$E$14,2,FALSE)</f>
        <v>MP</v>
      </c>
      <c r="K12" s="49" t="s">
        <v>20</v>
      </c>
      <c r="L12" s="49" t="s">
        <v>46</v>
      </c>
    </row>
    <row r="13" spans="1:12">
      <c r="A13" s="74" t="s">
        <v>47</v>
      </c>
      <c r="B13" s="72">
        <v>28</v>
      </c>
      <c r="C13" s="73">
        <v>23500</v>
      </c>
      <c r="D13" s="73">
        <f t="shared" si="0"/>
        <v>705</v>
      </c>
      <c r="E13" s="72">
        <v>2016</v>
      </c>
      <c r="F13" s="74" t="s">
        <v>13</v>
      </c>
      <c r="G13" s="75" t="str">
        <f>VLOOKUP(VlookUp!F13,City_and_State!$D$4:$E$14,2,FALSE)</f>
        <v>Rajasthan</v>
      </c>
      <c r="K13" s="49" t="s">
        <v>48</v>
      </c>
      <c r="L13" s="49" t="s">
        <v>40</v>
      </c>
    </row>
    <row r="14" spans="1:12">
      <c r="A14" s="74" t="s">
        <v>49</v>
      </c>
      <c r="B14" s="72">
        <v>32</v>
      </c>
      <c r="C14" s="73">
        <v>38000</v>
      </c>
      <c r="D14" s="73">
        <f t="shared" si="0"/>
        <v>1140</v>
      </c>
      <c r="E14" s="72">
        <v>2014</v>
      </c>
      <c r="F14" s="74" t="s">
        <v>14</v>
      </c>
      <c r="G14" s="75" t="str">
        <f>VLOOKUP(VlookUp!F14,City_and_State!$D$4:$E$14,2,FALSE)</f>
        <v>Gujrat</v>
      </c>
      <c r="K14" s="49" t="s">
        <v>1</v>
      </c>
      <c r="L14" s="49" t="s">
        <v>40</v>
      </c>
    </row>
    <row r="15" spans="1:7">
      <c r="A15" s="74" t="s">
        <v>50</v>
      </c>
      <c r="B15" s="72">
        <v>43</v>
      </c>
      <c r="C15" s="73">
        <v>28500</v>
      </c>
      <c r="D15" s="73">
        <f t="shared" si="0"/>
        <v>855</v>
      </c>
      <c r="E15" s="72">
        <v>2019</v>
      </c>
      <c r="F15" s="74" t="s">
        <v>8</v>
      </c>
      <c r="G15" s="75" t="str">
        <f>VLOOKUP(VlookUp!F15,City_and_State!$D$4:$E$14,2,FALSE)</f>
        <v>Gujrat</v>
      </c>
    </row>
    <row r="16" spans="1:18">
      <c r="A16" s="74" t="s">
        <v>51</v>
      </c>
      <c r="B16" s="72">
        <v>20</v>
      </c>
      <c r="C16" s="73">
        <v>48800</v>
      </c>
      <c r="D16" s="73">
        <f t="shared" si="0"/>
        <v>1464</v>
      </c>
      <c r="E16" s="72">
        <v>2019</v>
      </c>
      <c r="F16" s="74" t="s">
        <v>15</v>
      </c>
      <c r="G16" s="75" t="str">
        <f>VLOOKUP(VlookUp!F16,City_and_State!$D$4:$E$14,2,FALSE)</f>
        <v>UP</v>
      </c>
      <c r="J16" s="47" t="s">
        <v>52</v>
      </c>
      <c r="K16" s="47"/>
      <c r="L16" s="47"/>
      <c r="M16" s="47"/>
      <c r="N16" s="47"/>
      <c r="O16" s="47"/>
      <c r="P16" s="47"/>
      <c r="Q16" s="47"/>
      <c r="R16" s="47"/>
    </row>
    <row r="17" spans="1:18">
      <c r="A17" s="74" t="s">
        <v>53</v>
      </c>
      <c r="B17" s="72">
        <v>37</v>
      </c>
      <c r="C17" s="73">
        <v>57300</v>
      </c>
      <c r="D17" s="73">
        <f t="shared" si="0"/>
        <v>1719</v>
      </c>
      <c r="E17" s="72">
        <v>2014</v>
      </c>
      <c r="F17" s="74" t="s">
        <v>11</v>
      </c>
      <c r="G17" s="75" t="str">
        <f>VLOOKUP(VlookUp!F17,City_and_State!$D$4:$E$14,2,FALSE)</f>
        <v>Maharashtra</v>
      </c>
      <c r="J17" s="47" t="s">
        <v>54</v>
      </c>
      <c r="K17" s="47"/>
      <c r="L17" s="47"/>
      <c r="M17" s="47"/>
      <c r="N17" s="47"/>
      <c r="O17" s="47"/>
      <c r="P17" s="47"/>
      <c r="Q17" s="47"/>
      <c r="R17" s="47"/>
    </row>
    <row r="20" spans="10:18">
      <c r="J20" s="47" t="s">
        <v>55</v>
      </c>
      <c r="K20" s="47"/>
      <c r="L20" s="47"/>
      <c r="M20" s="47"/>
      <c r="N20" s="47"/>
      <c r="O20" s="47"/>
      <c r="P20" s="47"/>
      <c r="Q20" s="47"/>
      <c r="R20" s="47"/>
    </row>
    <row r="21" spans="10:18">
      <c r="J21" s="47" t="s">
        <v>56</v>
      </c>
      <c r="K21" s="47"/>
      <c r="L21" s="47"/>
      <c r="M21" s="47"/>
      <c r="N21" s="47"/>
      <c r="O21" s="47"/>
      <c r="P21" s="47"/>
      <c r="Q21" s="47"/>
      <c r="R21" s="47"/>
    </row>
    <row r="23" spans="10:10">
      <c r="J23" t="s">
        <v>57</v>
      </c>
    </row>
    <row r="24" ht="18.75" spans="10:11">
      <c r="J24" s="76" t="s">
        <v>18</v>
      </c>
      <c r="K24" s="52" t="s">
        <v>34</v>
      </c>
    </row>
    <row r="26" ht="18.75" spans="10:11">
      <c r="J26" s="76" t="s">
        <v>19</v>
      </c>
      <c r="K26" s="52">
        <f>VLOOKUP(A8,A3:G17,2,FALSE)</f>
        <v>34</v>
      </c>
    </row>
    <row r="27" ht="18.75" spans="10:11">
      <c r="J27" s="76" t="s">
        <v>20</v>
      </c>
      <c r="K27" s="52">
        <f>VLOOKUP(A8,A3:G17,3,FALSE)</f>
        <v>85000</v>
      </c>
    </row>
    <row r="28" ht="18.75" spans="10:11">
      <c r="J28" s="76" t="s">
        <v>0</v>
      </c>
      <c r="K28" s="52" t="str">
        <f>VLOOKUP(A8,A3:G17,6,FALSE)</f>
        <v>Indore</v>
      </c>
    </row>
    <row r="29" ht="18.75" spans="10:11">
      <c r="J29" s="76" t="s">
        <v>58</v>
      </c>
      <c r="K29" s="52">
        <f>VLOOKUP(A8,A3:G17,5,FALSE)</f>
        <v>2016</v>
      </c>
    </row>
  </sheetData>
  <conditionalFormatting sqref="B3:B17">
    <cfRule type="cellIs" dxfId="2" priority="1" operator="lessThan">
      <formula>30</formula>
    </cfRule>
  </conditionalFormatting>
  <conditionalFormatting sqref="A3:G17">
    <cfRule type="expression" dxfId="0" priority="2">
      <formula>OR($C3="Mumbai",$E3&gt;60000)</formula>
    </cfRule>
    <cfRule type="expression" dxfId="1" priority="3">
      <formula>OR($C15="Mumbai",$E15&gt;60000)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opLeftCell="A32" workbookViewId="0">
      <selection activeCell="B36" sqref="B36:P36"/>
    </sheetView>
  </sheetViews>
  <sheetFormatPr defaultColWidth="9.14285714285714" defaultRowHeight="15"/>
  <cols>
    <col min="1" max="1" width="24.1428571428571" customWidth="1"/>
    <col min="2" max="2" width="21" customWidth="1"/>
    <col min="3" max="3" width="11.8571428571429"/>
    <col min="4" max="4" width="10.8571428571429" customWidth="1"/>
    <col min="5" max="14" width="11.8571428571429"/>
    <col min="15" max="15" width="15.7142857142857" customWidth="1"/>
    <col min="16" max="16" width="22" customWidth="1"/>
  </cols>
  <sheetData>
    <row r="1" spans="1:16">
      <c r="A1" s="42" t="s">
        <v>18</v>
      </c>
      <c r="B1" s="43" t="s">
        <v>23</v>
      </c>
      <c r="C1" s="43" t="s">
        <v>25</v>
      </c>
      <c r="D1" s="43" t="s">
        <v>27</v>
      </c>
      <c r="E1" s="43" t="s">
        <v>29</v>
      </c>
      <c r="F1" s="43" t="s">
        <v>31</v>
      </c>
      <c r="G1" s="43" t="s">
        <v>34</v>
      </c>
      <c r="H1" s="43" t="s">
        <v>36</v>
      </c>
      <c r="I1" s="43" t="s">
        <v>39</v>
      </c>
      <c r="J1" s="43" t="s">
        <v>41</v>
      </c>
      <c r="K1" s="43" t="s">
        <v>45</v>
      </c>
      <c r="L1" s="43" t="s">
        <v>47</v>
      </c>
      <c r="M1" s="43" t="s">
        <v>49</v>
      </c>
      <c r="N1" s="43" t="s">
        <v>50</v>
      </c>
      <c r="O1" s="43" t="s">
        <v>51</v>
      </c>
      <c r="P1" s="64" t="s">
        <v>53</v>
      </c>
    </row>
    <row r="2" spans="1:16">
      <c r="A2" s="44" t="s">
        <v>19</v>
      </c>
      <c r="B2">
        <v>21</v>
      </c>
      <c r="C2">
        <v>43</v>
      </c>
      <c r="D2">
        <v>32</v>
      </c>
      <c r="E2">
        <v>24</v>
      </c>
      <c r="F2">
        <v>43</v>
      </c>
      <c r="G2">
        <v>34</v>
      </c>
      <c r="H2">
        <v>32</v>
      </c>
      <c r="I2">
        <v>43</v>
      </c>
      <c r="J2">
        <v>23</v>
      </c>
      <c r="K2">
        <v>25</v>
      </c>
      <c r="L2">
        <v>28</v>
      </c>
      <c r="M2">
        <v>32</v>
      </c>
      <c r="N2">
        <v>43</v>
      </c>
      <c r="O2">
        <v>20</v>
      </c>
      <c r="P2" s="65">
        <v>37</v>
      </c>
    </row>
    <row r="3" spans="1:16">
      <c r="A3" s="44" t="s">
        <v>20</v>
      </c>
      <c r="B3">
        <v>25800</v>
      </c>
      <c r="C3">
        <v>73000</v>
      </c>
      <c r="D3">
        <v>54999</v>
      </c>
      <c r="E3">
        <v>45969</v>
      </c>
      <c r="F3">
        <v>65999</v>
      </c>
      <c r="G3">
        <v>85000</v>
      </c>
      <c r="H3">
        <v>55869</v>
      </c>
      <c r="I3">
        <v>58399</v>
      </c>
      <c r="J3">
        <v>45858</v>
      </c>
      <c r="K3">
        <v>46899</v>
      </c>
      <c r="L3">
        <v>23500</v>
      </c>
      <c r="M3">
        <v>38000</v>
      </c>
      <c r="N3">
        <v>28500</v>
      </c>
      <c r="O3">
        <v>48800</v>
      </c>
      <c r="P3" s="65">
        <v>57300</v>
      </c>
    </row>
    <row r="4" spans="1:16">
      <c r="A4" s="44" t="s">
        <v>22</v>
      </c>
      <c r="B4">
        <v>2016</v>
      </c>
      <c r="C4">
        <v>2014</v>
      </c>
      <c r="D4">
        <v>2016</v>
      </c>
      <c r="E4">
        <v>2017</v>
      </c>
      <c r="F4">
        <v>2014</v>
      </c>
      <c r="G4">
        <v>2016</v>
      </c>
      <c r="H4">
        <v>2016</v>
      </c>
      <c r="I4">
        <v>2014</v>
      </c>
      <c r="J4">
        <v>2019</v>
      </c>
      <c r="K4">
        <v>2019</v>
      </c>
      <c r="L4">
        <v>2016</v>
      </c>
      <c r="M4">
        <v>2014</v>
      </c>
      <c r="N4">
        <v>2019</v>
      </c>
      <c r="O4">
        <v>2019</v>
      </c>
      <c r="P4" s="65">
        <v>2014</v>
      </c>
    </row>
    <row r="5" spans="1:16">
      <c r="A5" s="44" t="s">
        <v>0</v>
      </c>
      <c r="B5" t="s">
        <v>2</v>
      </c>
      <c r="C5" t="s">
        <v>4</v>
      </c>
      <c r="D5" t="s">
        <v>6</v>
      </c>
      <c r="E5" t="s">
        <v>8</v>
      </c>
      <c r="F5" t="s">
        <v>9</v>
      </c>
      <c r="G5" t="s">
        <v>10</v>
      </c>
      <c r="H5" t="s">
        <v>2</v>
      </c>
      <c r="I5" t="s">
        <v>11</v>
      </c>
      <c r="J5" t="s">
        <v>12</v>
      </c>
      <c r="K5" t="s">
        <v>10</v>
      </c>
      <c r="L5" t="s">
        <v>13</v>
      </c>
      <c r="M5" t="s">
        <v>14</v>
      </c>
      <c r="N5" t="s">
        <v>8</v>
      </c>
      <c r="O5" t="s">
        <v>15</v>
      </c>
      <c r="P5" s="65" t="s">
        <v>11</v>
      </c>
    </row>
    <row r="6" ht="15.75" spans="1:16">
      <c r="A6" s="45" t="s">
        <v>1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66"/>
    </row>
    <row r="8" spans="2:13">
      <c r="B8" s="47" t="s">
        <v>59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</row>
    <row r="9" spans="2:13">
      <c r="B9" s="47" t="s">
        <v>60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</row>
    <row r="10" spans="2:13">
      <c r="B10" s="47" t="s">
        <v>61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</row>
    <row r="11" spans="2:13">
      <c r="B11" s="47" t="s">
        <v>62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</row>
    <row r="13" spans="2:13">
      <c r="B13" s="47" t="s">
        <v>63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</row>
    <row r="14" spans="2:13">
      <c r="B14" s="47" t="s">
        <v>64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</row>
    <row r="15" spans="2:13">
      <c r="B15" s="47" t="s">
        <v>65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</row>
    <row r="16" spans="2:13">
      <c r="B16" s="47" t="s">
        <v>35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</row>
    <row r="17" spans="3:4">
      <c r="C17" s="48" t="s">
        <v>37</v>
      </c>
      <c r="D17" s="48" t="s">
        <v>38</v>
      </c>
    </row>
    <row r="18" spans="3:4">
      <c r="C18" s="49" t="s">
        <v>18</v>
      </c>
      <c r="D18" s="49" t="s">
        <v>40</v>
      </c>
    </row>
    <row r="19" spans="3:5">
      <c r="C19" s="49" t="s">
        <v>42</v>
      </c>
      <c r="D19" s="49" t="s">
        <v>43</v>
      </c>
      <c r="E19" s="50" t="s">
        <v>44</v>
      </c>
    </row>
    <row r="20" spans="3:4">
      <c r="C20" s="49" t="s">
        <v>20</v>
      </c>
      <c r="D20" s="49" t="s">
        <v>46</v>
      </c>
    </row>
    <row r="21" spans="3:4">
      <c r="C21" s="49" t="s">
        <v>48</v>
      </c>
      <c r="D21" s="49" t="s">
        <v>40</v>
      </c>
    </row>
    <row r="22" spans="3:4">
      <c r="C22" s="49" t="s">
        <v>1</v>
      </c>
      <c r="D22" s="49" t="s">
        <v>40</v>
      </c>
    </row>
    <row r="24" spans="2:13">
      <c r="B24" s="47" t="s">
        <v>66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</row>
    <row r="26" spans="2:2">
      <c r="B26" t="s">
        <v>67</v>
      </c>
    </row>
    <row r="27" ht="18.75" spans="2:3">
      <c r="B27" s="51" t="s">
        <v>18</v>
      </c>
      <c r="C27" s="52" t="s">
        <v>34</v>
      </c>
    </row>
    <row r="29" ht="18.75" spans="2:3">
      <c r="B29" s="51" t="s">
        <v>19</v>
      </c>
      <c r="C29" s="52">
        <f>HLOOKUP(C27,B1:P5,2,0)</f>
        <v>34</v>
      </c>
    </row>
    <row r="30" ht="18.75" spans="2:3">
      <c r="B30" s="51" t="s">
        <v>20</v>
      </c>
      <c r="C30" s="52">
        <f>HLOOKUP(C27,B35:P40,3,FALSE)</f>
        <v>85000</v>
      </c>
    </row>
    <row r="31" ht="18.75" customHeight="1" spans="2:3">
      <c r="B31" s="51" t="s">
        <v>0</v>
      </c>
      <c r="C31" s="52" t="str">
        <f>HLOOKUP(C27,B35:P40,5,FALSE)</f>
        <v>Indore</v>
      </c>
    </row>
    <row r="32" spans="2:3">
      <c r="B32" s="53" t="s">
        <v>58</v>
      </c>
      <c r="C32" s="54">
        <f>HLOOKUP(C27,B35:P40,4,FALSE)</f>
        <v>2016</v>
      </c>
    </row>
    <row r="33" spans="2:3">
      <c r="B33" s="55"/>
      <c r="C33" s="56"/>
    </row>
    <row r="35" ht="21" spans="1:16">
      <c r="A35" s="57" t="s">
        <v>18</v>
      </c>
      <c r="B35" s="58" t="s">
        <v>23</v>
      </c>
      <c r="C35" s="58" t="s">
        <v>25</v>
      </c>
      <c r="D35" s="58" t="s">
        <v>27</v>
      </c>
      <c r="E35" s="58" t="s">
        <v>29</v>
      </c>
      <c r="F35" s="58" t="s">
        <v>31</v>
      </c>
      <c r="G35" s="58" t="s">
        <v>34</v>
      </c>
      <c r="H35" s="58" t="s">
        <v>36</v>
      </c>
      <c r="I35" s="58" t="s">
        <v>39</v>
      </c>
      <c r="J35" s="58" t="s">
        <v>41</v>
      </c>
      <c r="K35" s="58" t="s">
        <v>45</v>
      </c>
      <c r="L35" s="58" t="s">
        <v>47</v>
      </c>
      <c r="M35" s="58" t="s">
        <v>49</v>
      </c>
      <c r="N35" s="58" t="s">
        <v>50</v>
      </c>
      <c r="O35" s="58" t="s">
        <v>51</v>
      </c>
      <c r="P35" s="58" t="s">
        <v>53</v>
      </c>
    </row>
    <row r="36" ht="21" spans="1:16">
      <c r="A36" s="57" t="s">
        <v>19</v>
      </c>
      <c r="B36" s="59">
        <v>21</v>
      </c>
      <c r="C36" s="59">
        <v>43</v>
      </c>
      <c r="D36" s="59">
        <v>32</v>
      </c>
      <c r="E36" s="59">
        <v>24</v>
      </c>
      <c r="F36" s="59">
        <v>43</v>
      </c>
      <c r="G36" s="59">
        <v>34</v>
      </c>
      <c r="H36" s="59">
        <v>32</v>
      </c>
      <c r="I36" s="59">
        <v>43</v>
      </c>
      <c r="J36" s="59">
        <v>23</v>
      </c>
      <c r="K36" s="59">
        <v>25</v>
      </c>
      <c r="L36" s="59">
        <v>28</v>
      </c>
      <c r="M36" s="59">
        <v>32</v>
      </c>
      <c r="N36" s="59">
        <v>43</v>
      </c>
      <c r="O36" s="59">
        <v>20</v>
      </c>
      <c r="P36" s="67">
        <v>37</v>
      </c>
    </row>
    <row r="37" ht="21" spans="1:16">
      <c r="A37" s="57" t="s">
        <v>20</v>
      </c>
      <c r="B37" s="60">
        <v>25800</v>
      </c>
      <c r="C37" s="60">
        <v>73000</v>
      </c>
      <c r="D37" s="60">
        <v>54999</v>
      </c>
      <c r="E37" s="60">
        <v>45969</v>
      </c>
      <c r="F37" s="60">
        <v>65999</v>
      </c>
      <c r="G37" s="60">
        <v>85000</v>
      </c>
      <c r="H37" s="60">
        <v>55869</v>
      </c>
      <c r="I37" s="60">
        <v>58399</v>
      </c>
      <c r="J37" s="60">
        <v>45858</v>
      </c>
      <c r="K37" s="60">
        <v>46899</v>
      </c>
      <c r="L37" s="60">
        <v>23500</v>
      </c>
      <c r="M37" s="60">
        <v>38000</v>
      </c>
      <c r="N37" s="60">
        <v>28500</v>
      </c>
      <c r="O37" s="60">
        <v>48800</v>
      </c>
      <c r="P37" s="68">
        <v>57300</v>
      </c>
    </row>
    <row r="38" ht="21" spans="1:16">
      <c r="A38" s="57" t="s">
        <v>22</v>
      </c>
      <c r="B38" s="61">
        <v>2016</v>
      </c>
      <c r="C38" s="61">
        <v>2014</v>
      </c>
      <c r="D38" s="61">
        <v>2016</v>
      </c>
      <c r="E38" s="61">
        <v>2017</v>
      </c>
      <c r="F38" s="61">
        <v>2014</v>
      </c>
      <c r="G38" s="61">
        <v>2016</v>
      </c>
      <c r="H38" s="61">
        <v>2016</v>
      </c>
      <c r="I38" s="61">
        <v>2014</v>
      </c>
      <c r="J38" s="61">
        <v>2019</v>
      </c>
      <c r="K38" s="61">
        <v>2019</v>
      </c>
      <c r="L38" s="61">
        <v>2016</v>
      </c>
      <c r="M38" s="61">
        <v>2014</v>
      </c>
      <c r="N38" s="61">
        <v>2019</v>
      </c>
      <c r="O38" s="61">
        <v>2019</v>
      </c>
      <c r="P38" s="69">
        <v>2014</v>
      </c>
    </row>
    <row r="39" ht="21" spans="1:16">
      <c r="A39" s="57" t="s">
        <v>0</v>
      </c>
      <c r="B39" s="62" t="s">
        <v>2</v>
      </c>
      <c r="C39" s="62" t="s">
        <v>4</v>
      </c>
      <c r="D39" s="62" t="s">
        <v>6</v>
      </c>
      <c r="E39" s="62" t="s">
        <v>8</v>
      </c>
      <c r="F39" s="62" t="s">
        <v>9</v>
      </c>
      <c r="G39" s="62" t="s">
        <v>10</v>
      </c>
      <c r="H39" s="62" t="s">
        <v>2</v>
      </c>
      <c r="I39" s="62" t="s">
        <v>11</v>
      </c>
      <c r="J39" s="62" t="s">
        <v>12</v>
      </c>
      <c r="K39" s="62" t="s">
        <v>10</v>
      </c>
      <c r="L39" s="62" t="s">
        <v>13</v>
      </c>
      <c r="M39" s="62" t="s">
        <v>14</v>
      </c>
      <c r="N39" s="62" t="s">
        <v>8</v>
      </c>
      <c r="O39" s="62" t="s">
        <v>15</v>
      </c>
      <c r="P39" s="63" t="s">
        <v>11</v>
      </c>
    </row>
    <row r="40" ht="21" spans="1:16">
      <c r="A40" s="57" t="s">
        <v>1</v>
      </c>
      <c r="B40" s="63" t="str">
        <f>HLOOKUP(B39,City_and_State!$J$6:$T$7,2,FALSE)</f>
        <v>Maharashtra</v>
      </c>
      <c r="C40" s="63" t="str">
        <f>HLOOKUP(C39,City_and_State!$J$6:$T$7,2,FALSE)</f>
        <v>Rajasthan</v>
      </c>
      <c r="D40" s="63" t="str">
        <f>HLOOKUP(D39,City_and_State!$J$6:$T$7,2,FALSE)</f>
        <v>UP</v>
      </c>
      <c r="E40" s="63" t="str">
        <f>HLOOKUP(E39,City_and_State!$J$6:$T$7,2,FALSE)</f>
        <v>Gujrat</v>
      </c>
      <c r="F40" s="63" t="str">
        <f>HLOOKUP(F39,City_and_State!$J$6:$T$7,2,FALSE)</f>
        <v>UP</v>
      </c>
      <c r="G40" s="63" t="str">
        <f>HLOOKUP(G39,City_and_State!$J$6:$T$7,2,FALSE)</f>
        <v>MP</v>
      </c>
      <c r="H40" s="63" t="str">
        <f>HLOOKUP(H39,City_and_State!$J$6:$T$7,2,FALSE)</f>
        <v>Maharashtra</v>
      </c>
      <c r="I40" s="63" t="str">
        <f>HLOOKUP(I39,City_and_State!$J$6:$T$7,2,FALSE)</f>
        <v>Maharashtra</v>
      </c>
      <c r="J40" s="63" t="str">
        <f>HLOOKUP(J39,City_and_State!$J$6:$T$7,2,FALSE)</f>
        <v>MP</v>
      </c>
      <c r="K40" s="63" t="str">
        <f>HLOOKUP(K39,City_and_State!$J$6:$T$7,2,FALSE)</f>
        <v>MP</v>
      </c>
      <c r="L40" s="63" t="str">
        <f>HLOOKUP(L39,City_and_State!$J$6:$T$7,2,FALSE)</f>
        <v>Rajasthan</v>
      </c>
      <c r="M40" s="63" t="str">
        <f>HLOOKUP(M39,City_and_State!$J$6:$T$7,2,FALSE)</f>
        <v>Gujrat</v>
      </c>
      <c r="N40" s="63" t="str">
        <f>HLOOKUP(N39,City_and_State!$J$6:$T$7,2,FALSE)</f>
        <v>Gujrat</v>
      </c>
      <c r="O40" s="63" t="str">
        <f>HLOOKUP(O39,City_and_State!$J$6:$T$7,2,FALSE)</f>
        <v>UP</v>
      </c>
      <c r="P40" s="63" t="str">
        <f>HLOOKUP(P39,City_and_State!$J$6:$T$7,2,FALSE)</f>
        <v>Maharashtra</v>
      </c>
    </row>
  </sheetData>
  <mergeCells count="2">
    <mergeCell ref="B32:B33"/>
    <mergeCell ref="C32:C33"/>
  </mergeCells>
  <conditionalFormatting sqref="B36:P36">
    <cfRule type="cellIs" dxfId="3" priority="1" operator="lessThan">
      <formula>30</formula>
    </cfRule>
  </conditionalFormatting>
  <conditionalFormatting sqref="B1:P2">
    <cfRule type="expression" dxfId="0" priority="25">
      <formula>OR($D1="Mumbai",$E1&gt;60000)</formula>
    </cfRule>
    <cfRule type="expression" dxfId="1" priority="26">
      <formula>OR($D14="Mumbai",$E14&gt;60000)</formula>
    </cfRule>
  </conditionalFormatting>
  <conditionalFormatting sqref="B3:P4">
    <cfRule type="expression" dxfId="0" priority="19">
      <formula>OR($D3="Mumbai",$E3&gt;60000)</formula>
    </cfRule>
    <cfRule type="expression" dxfId="1" priority="20">
      <formula>OR(#REF!="Mumbai",#REF!&gt;60000)</formula>
    </cfRule>
  </conditionalFormatting>
  <conditionalFormatting sqref="B5:P6">
    <cfRule type="expression" dxfId="0" priority="17">
      <formula>OR($D5="Mumbai",$E5&gt;60000)</formula>
    </cfRule>
    <cfRule type="expression" dxfId="1" priority="18">
      <formula>OR($D17="Mumbai",$E17&gt;60000)</formula>
    </cfRule>
  </conditionalFormatting>
  <conditionalFormatting sqref="B35:P36">
    <cfRule type="expression" dxfId="0" priority="6">
      <formula>OR($D35="Mumbai",$E35&gt;60000)</formula>
    </cfRule>
    <cfRule type="expression" dxfId="1" priority="7">
      <formula>OR($D74="Mumbai",$E74&gt;60000)</formula>
    </cfRule>
  </conditionalFormatting>
  <conditionalFormatting sqref="B37:P38">
    <cfRule type="expression" dxfId="0" priority="4">
      <formula>OR($D37="Mumbai",$E37&gt;60000)</formula>
    </cfRule>
    <cfRule type="expression" dxfId="1" priority="5">
      <formula>OR(#REF!="Mumbai",#REF!&gt;60000)</formula>
    </cfRule>
  </conditionalFormatting>
  <conditionalFormatting sqref="B39:P40">
    <cfRule type="expression" dxfId="0" priority="2">
      <formula>OR($D39="Mumbai",$E39&gt;60000)</formula>
    </cfRule>
    <cfRule type="expression" dxfId="1" priority="3">
      <formula>OR($D77="Mumbai",$E77&gt;60000)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37"/>
  <sheetViews>
    <sheetView topLeftCell="A20" workbookViewId="0">
      <selection activeCell="E4" sqref="E4"/>
    </sheetView>
  </sheetViews>
  <sheetFormatPr defaultColWidth="9.14285714285714" defaultRowHeight="15"/>
  <cols>
    <col min="2" max="2" width="12.8571428571429" style="25" customWidth="1"/>
    <col min="3" max="3" width="18.8571428571429" style="26" customWidth="1"/>
    <col min="4" max="4" width="11.1428571428571" customWidth="1"/>
    <col min="8" max="8" width="14.4285714285714" customWidth="1"/>
    <col min="9" max="9" width="15" customWidth="1"/>
    <col min="10" max="10" width="19.1428571428571" customWidth="1"/>
    <col min="11" max="11" width="12.8571428571429" customWidth="1"/>
    <col min="12" max="12" width="12.1428571428571" customWidth="1"/>
    <col min="13" max="13" width="11.8571428571429" customWidth="1"/>
    <col min="14" max="14" width="10.5714285714286" customWidth="1"/>
  </cols>
  <sheetData>
    <row r="2" ht="23.25" spans="2:11">
      <c r="B2" s="27" t="s">
        <v>68</v>
      </c>
      <c r="C2" s="28" t="s">
        <v>69</v>
      </c>
      <c r="D2" s="29" t="s">
        <v>70</v>
      </c>
      <c r="H2" s="30" t="s">
        <v>68</v>
      </c>
      <c r="I2" s="30"/>
      <c r="J2" s="38" t="s">
        <v>69</v>
      </c>
      <c r="K2" s="38" t="s">
        <v>70</v>
      </c>
    </row>
    <row r="3" ht="18.75" spans="2:11">
      <c r="B3" s="31">
        <v>100000</v>
      </c>
      <c r="C3" s="32">
        <f>VLOOKUP(B3,$H$4:$K$8,3,TRUE)</f>
        <v>0.02</v>
      </c>
      <c r="D3" s="33">
        <f>VLOOKUP(B3,$H$4:$K$8,4,TRUE)</f>
        <v>1</v>
      </c>
      <c r="H3" s="34" t="s">
        <v>71</v>
      </c>
      <c r="I3" s="34" t="s">
        <v>72</v>
      </c>
      <c r="J3" s="39"/>
      <c r="K3" s="39"/>
    </row>
    <row r="4" ht="15.75" spans="2:11">
      <c r="B4" s="31">
        <v>120000</v>
      </c>
      <c r="C4" s="32">
        <f t="shared" ref="C4:C18" si="0">VLOOKUP(B4,$H$4:$K$8,3,TRUE)</f>
        <v>0.04</v>
      </c>
      <c r="D4" s="33">
        <f t="shared" ref="D4:D18" si="1">VLOOKUP(B4,$H$4:$K$8,4,TRUE)</f>
        <v>2</v>
      </c>
      <c r="H4" s="35">
        <v>10000</v>
      </c>
      <c r="I4" s="35">
        <v>100000</v>
      </c>
      <c r="J4" s="40">
        <v>0.02</v>
      </c>
      <c r="K4" s="41">
        <v>1</v>
      </c>
    </row>
    <row r="5" ht="15.75" spans="2:11">
      <c r="B5" s="31">
        <v>50000</v>
      </c>
      <c r="C5" s="32">
        <f t="shared" si="0"/>
        <v>0.02</v>
      </c>
      <c r="D5" s="33">
        <f t="shared" si="1"/>
        <v>1</v>
      </c>
      <c r="H5" s="35">
        <v>100001</v>
      </c>
      <c r="I5" s="35">
        <v>200000</v>
      </c>
      <c r="J5" s="40">
        <v>0.04</v>
      </c>
      <c r="K5" s="41">
        <v>2</v>
      </c>
    </row>
    <row r="6" ht="15.75" spans="2:11">
      <c r="B6" s="31">
        <v>90000</v>
      </c>
      <c r="C6" s="32">
        <f t="shared" si="0"/>
        <v>0.02</v>
      </c>
      <c r="D6" s="33">
        <f t="shared" si="1"/>
        <v>1</v>
      </c>
      <c r="H6" s="35">
        <v>200001</v>
      </c>
      <c r="I6" s="35">
        <v>300000</v>
      </c>
      <c r="J6" s="40">
        <v>0.06</v>
      </c>
      <c r="K6" s="41">
        <v>3</v>
      </c>
    </row>
    <row r="7" ht="15.75" spans="2:11">
      <c r="B7" s="31">
        <v>800000</v>
      </c>
      <c r="C7" s="32">
        <f t="shared" si="0"/>
        <v>0.1</v>
      </c>
      <c r="D7" s="33">
        <f t="shared" si="1"/>
        <v>5</v>
      </c>
      <c r="H7" s="35">
        <v>300001</v>
      </c>
      <c r="I7" s="35">
        <v>400000</v>
      </c>
      <c r="J7" s="40">
        <v>0.08</v>
      </c>
      <c r="K7" s="41">
        <v>4</v>
      </c>
    </row>
    <row r="8" ht="15.75" spans="2:11">
      <c r="B8" s="31">
        <v>200000</v>
      </c>
      <c r="C8" s="32">
        <f t="shared" si="0"/>
        <v>0.04</v>
      </c>
      <c r="D8" s="33">
        <f t="shared" si="1"/>
        <v>2</v>
      </c>
      <c r="H8" s="35">
        <v>400001</v>
      </c>
      <c r="I8" s="35" t="s">
        <v>73</v>
      </c>
      <c r="J8" s="40">
        <v>0.1</v>
      </c>
      <c r="K8" s="41">
        <v>5</v>
      </c>
    </row>
    <row r="9" ht="15.75" spans="2:4">
      <c r="B9" s="31">
        <v>80000</v>
      </c>
      <c r="C9" s="32">
        <f t="shared" si="0"/>
        <v>0.02</v>
      </c>
      <c r="D9" s="33">
        <f t="shared" si="1"/>
        <v>1</v>
      </c>
    </row>
    <row r="10" ht="15.75" spans="2:4">
      <c r="B10" s="31">
        <v>90000</v>
      </c>
      <c r="C10" s="32">
        <f t="shared" si="0"/>
        <v>0.02</v>
      </c>
      <c r="D10" s="33">
        <f t="shared" si="1"/>
        <v>1</v>
      </c>
    </row>
    <row r="11" ht="15.75" spans="2:8">
      <c r="B11" s="31">
        <v>400000</v>
      </c>
      <c r="C11" s="32">
        <f t="shared" si="0"/>
        <v>0.08</v>
      </c>
      <c r="D11" s="33">
        <f t="shared" si="1"/>
        <v>4</v>
      </c>
      <c r="H11" t="s">
        <v>74</v>
      </c>
    </row>
    <row r="12" ht="15.75" spans="2:8">
      <c r="B12" s="31">
        <v>300000</v>
      </c>
      <c r="C12" s="32">
        <f t="shared" si="0"/>
        <v>0.06</v>
      </c>
      <c r="D12" s="33">
        <f t="shared" si="1"/>
        <v>3</v>
      </c>
      <c r="H12" t="s">
        <v>75</v>
      </c>
    </row>
    <row r="13" ht="15.75" spans="2:4">
      <c r="B13" s="31">
        <v>450000</v>
      </c>
      <c r="C13" s="32">
        <f t="shared" si="0"/>
        <v>0.1</v>
      </c>
      <c r="D13" s="33">
        <f t="shared" si="1"/>
        <v>5</v>
      </c>
    </row>
    <row r="14" ht="15.75" spans="2:4">
      <c r="B14" s="31">
        <v>300000</v>
      </c>
      <c r="C14" s="32">
        <f t="shared" si="0"/>
        <v>0.06</v>
      </c>
      <c r="D14" s="33">
        <f t="shared" si="1"/>
        <v>3</v>
      </c>
    </row>
    <row r="15" ht="15.75" spans="2:4">
      <c r="B15" s="31">
        <v>400000</v>
      </c>
      <c r="C15" s="32">
        <f t="shared" si="0"/>
        <v>0.08</v>
      </c>
      <c r="D15" s="33">
        <f t="shared" si="1"/>
        <v>4</v>
      </c>
    </row>
    <row r="16" ht="15.75" spans="2:4">
      <c r="B16" s="31">
        <v>500000</v>
      </c>
      <c r="C16" s="32">
        <f t="shared" si="0"/>
        <v>0.1</v>
      </c>
      <c r="D16" s="33">
        <f t="shared" si="1"/>
        <v>5</v>
      </c>
    </row>
    <row r="17" ht="15.75" spans="2:4">
      <c r="B17" s="31">
        <v>900000</v>
      </c>
      <c r="C17" s="32">
        <f t="shared" si="0"/>
        <v>0.1</v>
      </c>
      <c r="D17" s="33">
        <f t="shared" si="1"/>
        <v>5</v>
      </c>
    </row>
    <row r="18" ht="15.75" spans="2:4">
      <c r="B18" s="31">
        <v>400000</v>
      </c>
      <c r="C18" s="32">
        <f t="shared" si="0"/>
        <v>0.08</v>
      </c>
      <c r="D18" s="33">
        <f t="shared" si="1"/>
        <v>4</v>
      </c>
    </row>
    <row r="19" ht="15.75" spans="3:4">
      <c r="C19" s="36"/>
      <c r="D19" s="37"/>
    </row>
    <row r="20" ht="15.75"/>
    <row r="21" ht="24" spans="2:14">
      <c r="B21" s="27" t="s">
        <v>68</v>
      </c>
      <c r="C21" s="28" t="s">
        <v>69</v>
      </c>
      <c r="D21" s="29" t="s">
        <v>70</v>
      </c>
      <c r="H21" s="30" t="s">
        <v>68</v>
      </c>
      <c r="I21" s="34" t="s">
        <v>71</v>
      </c>
      <c r="J21" s="35">
        <v>10000</v>
      </c>
      <c r="K21" s="35">
        <v>100001</v>
      </c>
      <c r="L21" s="35">
        <v>200001</v>
      </c>
      <c r="M21" s="35">
        <v>300001</v>
      </c>
      <c r="N21" s="35">
        <v>400001</v>
      </c>
    </row>
    <row r="22" ht="18.75" spans="2:14">
      <c r="B22" s="31">
        <v>100000</v>
      </c>
      <c r="C22" s="32">
        <f>HLOOKUP(B22,$J$21:$N$24,3,TRUE)</f>
        <v>0.02</v>
      </c>
      <c r="D22" s="33">
        <f>HLOOKUP(B22,$J$21:$N$24,4,TRUE)</f>
        <v>1</v>
      </c>
      <c r="H22" s="30"/>
      <c r="I22" s="34" t="s">
        <v>72</v>
      </c>
      <c r="J22" s="35">
        <v>100000</v>
      </c>
      <c r="K22" s="35">
        <v>200000</v>
      </c>
      <c r="L22" s="35">
        <v>300000</v>
      </c>
      <c r="M22" s="35">
        <v>400000</v>
      </c>
      <c r="N22" s="35" t="s">
        <v>73</v>
      </c>
    </row>
    <row r="23" ht="18.75" spans="2:14">
      <c r="B23" s="31">
        <v>120000</v>
      </c>
      <c r="C23" s="32">
        <f t="shared" ref="C23:C37" si="2">HLOOKUP(B23,$J$21:$N$24,3,TRUE)</f>
        <v>0.04</v>
      </c>
      <c r="D23" s="33">
        <f t="shared" ref="D23:D37" si="3">HLOOKUP(B23,$J$21:$N$24,4,TRUE)</f>
        <v>2</v>
      </c>
      <c r="H23" s="38" t="s">
        <v>69</v>
      </c>
      <c r="I23" s="39"/>
      <c r="J23" s="40">
        <v>0.02</v>
      </c>
      <c r="K23" s="40">
        <v>0.04</v>
      </c>
      <c r="L23" s="40">
        <v>0.06</v>
      </c>
      <c r="M23" s="40">
        <v>0.08</v>
      </c>
      <c r="N23" s="40">
        <v>0.1</v>
      </c>
    </row>
    <row r="24" ht="18.75" spans="2:14">
      <c r="B24" s="31">
        <v>50000</v>
      </c>
      <c r="C24" s="32">
        <f t="shared" si="2"/>
        <v>0.02</v>
      </c>
      <c r="D24" s="33">
        <f t="shared" si="3"/>
        <v>1</v>
      </c>
      <c r="H24" s="38" t="s">
        <v>70</v>
      </c>
      <c r="I24" s="39"/>
      <c r="J24" s="41">
        <v>1</v>
      </c>
      <c r="K24" s="41">
        <v>2</v>
      </c>
      <c r="L24" s="41">
        <v>3</v>
      </c>
      <c r="M24" s="41">
        <v>4</v>
      </c>
      <c r="N24" s="41">
        <v>5</v>
      </c>
    </row>
    <row r="25" ht="15.75" spans="2:4">
      <c r="B25" s="31">
        <v>90000</v>
      </c>
      <c r="C25" s="32">
        <f t="shared" si="2"/>
        <v>0.02</v>
      </c>
      <c r="D25" s="33">
        <f t="shared" si="3"/>
        <v>1</v>
      </c>
    </row>
    <row r="26" ht="15.75" spans="2:4">
      <c r="B26" s="31">
        <v>800000</v>
      </c>
      <c r="C26" s="32">
        <f t="shared" si="2"/>
        <v>0.1</v>
      </c>
      <c r="D26" s="33">
        <f t="shared" si="3"/>
        <v>5</v>
      </c>
    </row>
    <row r="27" ht="15.75" spans="2:8">
      <c r="B27" s="31">
        <v>200000</v>
      </c>
      <c r="C27" s="32">
        <f t="shared" si="2"/>
        <v>0.04</v>
      </c>
      <c r="D27" s="33">
        <f t="shared" si="3"/>
        <v>2</v>
      </c>
      <c r="H27" t="s">
        <v>76</v>
      </c>
    </row>
    <row r="28" ht="15.75" spans="2:4">
      <c r="B28" s="31">
        <v>80000</v>
      </c>
      <c r="C28" s="32">
        <f t="shared" si="2"/>
        <v>0.02</v>
      </c>
      <c r="D28" s="33">
        <f t="shared" si="3"/>
        <v>1</v>
      </c>
    </row>
    <row r="29" ht="15.75" spans="2:4">
      <c r="B29" s="31">
        <v>90000</v>
      </c>
      <c r="C29" s="32">
        <f t="shared" si="2"/>
        <v>0.02</v>
      </c>
      <c r="D29" s="33">
        <f t="shared" si="3"/>
        <v>1</v>
      </c>
    </row>
    <row r="30" ht="15.75" spans="2:4">
      <c r="B30" s="31">
        <v>400000</v>
      </c>
      <c r="C30" s="32">
        <f t="shared" si="2"/>
        <v>0.08</v>
      </c>
      <c r="D30" s="33">
        <f t="shared" si="3"/>
        <v>4</v>
      </c>
    </row>
    <row r="31" ht="15.75" spans="2:4">
      <c r="B31" s="31">
        <v>300000</v>
      </c>
      <c r="C31" s="32">
        <f t="shared" si="2"/>
        <v>0.06</v>
      </c>
      <c r="D31" s="33">
        <f t="shared" si="3"/>
        <v>3</v>
      </c>
    </row>
    <row r="32" ht="15.75" spans="2:4">
      <c r="B32" s="31">
        <v>450000</v>
      </c>
      <c r="C32" s="32">
        <f t="shared" si="2"/>
        <v>0.1</v>
      </c>
      <c r="D32" s="33">
        <f t="shared" si="3"/>
        <v>5</v>
      </c>
    </row>
    <row r="33" ht="15.75" spans="2:4">
      <c r="B33" s="31">
        <v>300000</v>
      </c>
      <c r="C33" s="32">
        <f t="shared" si="2"/>
        <v>0.06</v>
      </c>
      <c r="D33" s="33">
        <f t="shared" si="3"/>
        <v>3</v>
      </c>
    </row>
    <row r="34" ht="15.75" spans="2:4">
      <c r="B34" s="31">
        <v>400000</v>
      </c>
      <c r="C34" s="32">
        <f t="shared" si="2"/>
        <v>0.08</v>
      </c>
      <c r="D34" s="33">
        <f t="shared" si="3"/>
        <v>4</v>
      </c>
    </row>
    <row r="35" ht="15.75" spans="2:4">
      <c r="B35" s="31">
        <v>500000</v>
      </c>
      <c r="C35" s="32">
        <f t="shared" si="2"/>
        <v>0.1</v>
      </c>
      <c r="D35" s="33">
        <f t="shared" si="3"/>
        <v>5</v>
      </c>
    </row>
    <row r="36" ht="15.75" spans="2:4">
      <c r="B36" s="31">
        <v>900000</v>
      </c>
      <c r="C36" s="32">
        <f t="shared" si="2"/>
        <v>0.1</v>
      </c>
      <c r="D36" s="33">
        <f t="shared" si="3"/>
        <v>5</v>
      </c>
    </row>
    <row r="37" ht="15.75" spans="2:4">
      <c r="B37" s="31">
        <v>400000</v>
      </c>
      <c r="C37" s="32">
        <f t="shared" si="2"/>
        <v>0.08</v>
      </c>
      <c r="D37" s="33">
        <f t="shared" si="3"/>
        <v>4</v>
      </c>
    </row>
  </sheetData>
  <mergeCells count="6">
    <mergeCell ref="H2:I2"/>
    <mergeCell ref="H23:I23"/>
    <mergeCell ref="H24:I24"/>
    <mergeCell ref="H21:H22"/>
    <mergeCell ref="J2:J3"/>
    <mergeCell ref="K2:K3"/>
  </mergeCells>
  <conditionalFormatting sqref="B3:C17 C18">
    <cfRule type="expression" dxfId="0" priority="3">
      <formula>OR($D3="Mumbai",$F3&gt;60000)</formula>
    </cfRule>
    <cfRule type="expression" dxfId="1" priority="4">
      <formula>OR($D15="Mumbai",$F15&gt;60000)</formula>
    </cfRule>
  </conditionalFormatting>
  <conditionalFormatting sqref="B22:C36 C37">
    <cfRule type="expression" dxfId="0" priority="1">
      <formula>OR($D22="Mumbai",$F22&gt;60000)</formula>
    </cfRule>
    <cfRule type="expression" dxfId="1" priority="2">
      <formula>OR($D34="Mumbai",$F34&gt;60000)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D4" sqref="D4"/>
    </sheetView>
  </sheetViews>
  <sheetFormatPr defaultColWidth="9.14285714285714" defaultRowHeight="15" outlineLevelRow="7" outlineLevelCol="6"/>
  <cols>
    <col min="1" max="1" width="18" customWidth="1"/>
    <col min="2" max="5" width="21.7142857142857"/>
    <col min="6" max="6" width="11.7142857142857"/>
  </cols>
  <sheetData>
    <row r="1" ht="26.25" spans="1:7">
      <c r="A1" s="21" t="s">
        <v>77</v>
      </c>
      <c r="B1" s="22"/>
      <c r="C1" s="22"/>
      <c r="D1" s="22"/>
      <c r="E1" s="22"/>
      <c r="F1"/>
      <c r="G1" s="23"/>
    </row>
    <row r="2" ht="23.25" spans="1:5">
      <c r="A2" s="24" t="s">
        <v>78</v>
      </c>
      <c r="B2" s="24" t="s">
        <v>79</v>
      </c>
      <c r="C2" s="24" t="s">
        <v>80</v>
      </c>
      <c r="D2" s="24" t="s">
        <v>81</v>
      </c>
      <c r="E2" s="24" t="s">
        <v>82</v>
      </c>
    </row>
    <row r="3" ht="23.25" spans="1:5">
      <c r="A3" s="2" t="s">
        <v>83</v>
      </c>
      <c r="B3" s="4">
        <v>200000</v>
      </c>
      <c r="C3" s="4">
        <v>200005</v>
      </c>
      <c r="D3" s="4">
        <v>400000</v>
      </c>
      <c r="E3" s="4">
        <v>420000</v>
      </c>
    </row>
    <row r="4" ht="23.25" spans="1:5">
      <c r="A4" s="2" t="s">
        <v>84</v>
      </c>
      <c r="B4" s="4">
        <v>300000</v>
      </c>
      <c r="C4" s="4">
        <v>350000</v>
      </c>
      <c r="D4" s="4">
        <v>200000</v>
      </c>
      <c r="E4" s="4">
        <v>500000</v>
      </c>
    </row>
    <row r="5" ht="23.25" spans="1:5">
      <c r="A5" s="2" t="s">
        <v>85</v>
      </c>
      <c r="B5" s="4">
        <v>120000</v>
      </c>
      <c r="C5" s="4">
        <v>120001</v>
      </c>
      <c r="D5" s="4">
        <v>150000</v>
      </c>
      <c r="E5" s="4">
        <v>160003</v>
      </c>
    </row>
    <row r="6" ht="23.25" spans="1:5">
      <c r="A6" s="2" t="s">
        <v>86</v>
      </c>
      <c r="B6" s="4">
        <v>40000</v>
      </c>
      <c r="C6" s="4">
        <v>50001</v>
      </c>
      <c r="D6" s="4">
        <v>40006</v>
      </c>
      <c r="E6" s="4">
        <v>60007</v>
      </c>
    </row>
    <row r="7" ht="23.25" spans="1:5">
      <c r="A7" s="2" t="s">
        <v>87</v>
      </c>
      <c r="B7" s="4">
        <v>90000</v>
      </c>
      <c r="C7" s="4">
        <v>100001</v>
      </c>
      <c r="D7" s="4">
        <v>80002</v>
      </c>
      <c r="E7" s="4">
        <v>85003</v>
      </c>
    </row>
    <row r="8" ht="23.25" spans="1:5">
      <c r="A8" s="2" t="s">
        <v>88</v>
      </c>
      <c r="B8" s="4">
        <v>23000</v>
      </c>
      <c r="C8" s="4">
        <v>25001</v>
      </c>
      <c r="D8" s="4">
        <v>25002</v>
      </c>
      <c r="E8" s="4">
        <v>33003</v>
      </c>
    </row>
  </sheetData>
  <mergeCells count="1">
    <mergeCell ref="A1:E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D3" sqref="D3"/>
    </sheetView>
  </sheetViews>
  <sheetFormatPr defaultColWidth="9.14285714285714" defaultRowHeight="15" outlineLevelRow="7" outlineLevelCol="4"/>
  <cols>
    <col min="1" max="5" width="20.8571428571429" customWidth="1"/>
  </cols>
  <sheetData>
    <row r="1" ht="26.25" spans="1:5">
      <c r="A1" s="1" t="s">
        <v>89</v>
      </c>
      <c r="B1" s="1"/>
      <c r="C1" s="1"/>
      <c r="D1" s="1"/>
      <c r="E1" s="1"/>
    </row>
    <row r="2" ht="23.25" spans="1:5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</row>
    <row r="3" ht="23.25" spans="1:5">
      <c r="A3" s="2" t="s">
        <v>83</v>
      </c>
      <c r="B3" s="4">
        <v>100000</v>
      </c>
      <c r="C3" s="4">
        <v>100005</v>
      </c>
      <c r="D3" s="4">
        <v>200000</v>
      </c>
      <c r="E3" s="4">
        <v>320000</v>
      </c>
    </row>
    <row r="4" ht="23.25" spans="1:5">
      <c r="A4" s="2" t="s">
        <v>84</v>
      </c>
      <c r="B4" s="4">
        <v>200000</v>
      </c>
      <c r="C4" s="4">
        <v>320000</v>
      </c>
      <c r="D4" s="4">
        <v>300000</v>
      </c>
      <c r="E4" s="4">
        <v>700000</v>
      </c>
    </row>
    <row r="5" ht="23.25" spans="1:5">
      <c r="A5" s="2" t="s">
        <v>85</v>
      </c>
      <c r="B5" s="4">
        <v>100000</v>
      </c>
      <c r="C5" s="4">
        <v>150001</v>
      </c>
      <c r="D5" s="4">
        <v>150000</v>
      </c>
      <c r="E5" s="4">
        <v>180003</v>
      </c>
    </row>
    <row r="6" ht="23.25" spans="1:5">
      <c r="A6" s="2" t="s">
        <v>86</v>
      </c>
      <c r="B6" s="4">
        <v>20000</v>
      </c>
      <c r="C6" s="4">
        <v>50001</v>
      </c>
      <c r="D6" s="4">
        <v>30006</v>
      </c>
      <c r="E6" s="4">
        <v>70007</v>
      </c>
    </row>
    <row r="7" ht="23.25" spans="1:5">
      <c r="A7" s="2" t="s">
        <v>87</v>
      </c>
      <c r="B7" s="4">
        <v>100000</v>
      </c>
      <c r="C7" s="4">
        <v>100001</v>
      </c>
      <c r="D7" s="4">
        <v>80002</v>
      </c>
      <c r="E7" s="4">
        <v>95003</v>
      </c>
    </row>
    <row r="8" ht="23.25" spans="1:5">
      <c r="A8" s="2" t="s">
        <v>88</v>
      </c>
      <c r="B8" s="4">
        <v>20000</v>
      </c>
      <c r="C8" s="4">
        <v>35001</v>
      </c>
      <c r="D8" s="4">
        <v>35002</v>
      </c>
      <c r="E8" s="4">
        <v>43003</v>
      </c>
    </row>
  </sheetData>
  <mergeCells count="1">
    <mergeCell ref="A1:E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F2" sqref="F2"/>
    </sheetView>
  </sheetViews>
  <sheetFormatPr defaultColWidth="9.14285714285714" defaultRowHeight="15" outlineLevelRow="7" outlineLevelCol="4"/>
  <cols>
    <col min="1" max="5" width="20" customWidth="1"/>
  </cols>
  <sheetData>
    <row r="1" ht="26.25" spans="1:5">
      <c r="A1" s="1" t="s">
        <v>90</v>
      </c>
      <c r="B1" s="1"/>
      <c r="C1" s="1"/>
      <c r="D1" s="1"/>
      <c r="E1" s="1"/>
    </row>
    <row r="2" ht="23.25" spans="1:5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</row>
    <row r="3" ht="23.25" spans="1:5">
      <c r="A3" s="2" t="s">
        <v>83</v>
      </c>
      <c r="B3" s="4">
        <v>50000</v>
      </c>
      <c r="C3" s="4">
        <v>100005</v>
      </c>
      <c r="D3" s="4">
        <v>200000</v>
      </c>
      <c r="E3" s="4">
        <v>450000</v>
      </c>
    </row>
    <row r="4" ht="23.25" spans="1:5">
      <c r="A4" s="2" t="s">
        <v>84</v>
      </c>
      <c r="B4" s="4">
        <v>200000</v>
      </c>
      <c r="C4" s="4">
        <v>350000</v>
      </c>
      <c r="D4" s="4">
        <v>300000</v>
      </c>
      <c r="E4" s="4">
        <v>400000</v>
      </c>
    </row>
    <row r="5" ht="23.25" spans="1:5">
      <c r="A5" s="2" t="s">
        <v>85</v>
      </c>
      <c r="B5" s="4">
        <v>150000</v>
      </c>
      <c r="C5" s="4">
        <v>160001</v>
      </c>
      <c r="D5" s="4">
        <v>180000</v>
      </c>
      <c r="E5" s="4">
        <v>170003</v>
      </c>
    </row>
    <row r="6" ht="23.25" spans="1:5">
      <c r="A6" s="2" t="s">
        <v>86</v>
      </c>
      <c r="B6" s="4">
        <v>20000</v>
      </c>
      <c r="C6" s="4">
        <v>70001</v>
      </c>
      <c r="D6" s="4">
        <v>40006</v>
      </c>
      <c r="E6" s="4">
        <v>60007</v>
      </c>
    </row>
    <row r="7" ht="23.25" spans="1:5">
      <c r="A7" s="2" t="s">
        <v>87</v>
      </c>
      <c r="B7" s="4">
        <v>70000</v>
      </c>
      <c r="C7" s="4">
        <v>100001</v>
      </c>
      <c r="D7" s="4">
        <v>180002</v>
      </c>
      <c r="E7" s="4">
        <v>85003</v>
      </c>
    </row>
    <row r="8" ht="23.25" spans="1:5">
      <c r="A8" s="2" t="s">
        <v>88</v>
      </c>
      <c r="B8" s="4">
        <v>20000</v>
      </c>
      <c r="C8" s="4">
        <v>24001</v>
      </c>
      <c r="D8" s="4">
        <v>35002</v>
      </c>
      <c r="E8" s="4">
        <v>33003</v>
      </c>
    </row>
  </sheetData>
  <mergeCells count="1">
    <mergeCell ref="A1:E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V22"/>
  <sheetViews>
    <sheetView topLeftCell="A6" workbookViewId="0">
      <selection activeCell="K11" sqref="K11"/>
    </sheetView>
  </sheetViews>
  <sheetFormatPr defaultColWidth="9.14285714285714" defaultRowHeight="15"/>
  <cols>
    <col min="19" max="22" width="12.8571428571429"/>
  </cols>
  <sheetData>
    <row r="2" ht="18.75" spans="3:17">
      <c r="C2" s="8" t="s">
        <v>91</v>
      </c>
      <c r="D2" s="8"/>
      <c r="Q2" s="8" t="s">
        <v>91</v>
      </c>
    </row>
    <row r="3" spans="3:17">
      <c r="C3" t="s">
        <v>92</v>
      </c>
      <c r="K3" t="s">
        <v>93</v>
      </c>
      <c r="Q3" t="s">
        <v>92</v>
      </c>
    </row>
    <row r="4" spans="3:17">
      <c r="C4" t="s">
        <v>94</v>
      </c>
      <c r="Q4" t="s">
        <v>94</v>
      </c>
    </row>
    <row r="5" spans="3:17">
      <c r="C5" t="s">
        <v>95</v>
      </c>
      <c r="Q5" t="s">
        <v>95</v>
      </c>
    </row>
    <row r="6" spans="3:17">
      <c r="C6" t="s">
        <v>96</v>
      </c>
      <c r="Q6" t="s">
        <v>96</v>
      </c>
    </row>
    <row r="8" spans="3:19">
      <c r="C8" t="s">
        <v>97</v>
      </c>
      <c r="E8" t="s">
        <v>98</v>
      </c>
      <c r="Q8" t="s">
        <v>97</v>
      </c>
      <c r="S8" t="s">
        <v>98</v>
      </c>
    </row>
    <row r="9" spans="5:19">
      <c r="E9" t="s">
        <v>99</v>
      </c>
      <c r="S9" t="s">
        <v>100</v>
      </c>
    </row>
    <row r="11" spans="3:5">
      <c r="C11" t="s">
        <v>101</v>
      </c>
      <c r="E11" t="s">
        <v>102</v>
      </c>
    </row>
    <row r="14" spans="2:22">
      <c r="B14" s="9" t="s">
        <v>103</v>
      </c>
      <c r="C14" s="10" t="s">
        <v>104</v>
      </c>
      <c r="D14" s="11"/>
      <c r="E14" s="11"/>
      <c r="F14" s="11"/>
      <c r="G14" s="12"/>
      <c r="H14"/>
      <c r="I14" s="20" t="s">
        <v>105</v>
      </c>
      <c r="J14" s="20"/>
      <c r="K14" s="20"/>
      <c r="L14" s="20"/>
      <c r="M14"/>
      <c r="N14" s="10" t="s">
        <v>106</v>
      </c>
      <c r="O14" s="11"/>
      <c r="P14" s="11"/>
      <c r="Q14" s="12"/>
      <c r="R14"/>
      <c r="S14" s="20" t="s">
        <v>107</v>
      </c>
      <c r="T14" s="20"/>
      <c r="U14" s="20"/>
      <c r="V14" s="20"/>
    </row>
    <row r="15" spans="2:22">
      <c r="B15" s="13"/>
      <c r="C15" s="9" t="s">
        <v>108</v>
      </c>
      <c r="D15" s="9">
        <v>1</v>
      </c>
      <c r="E15" s="9">
        <v>2</v>
      </c>
      <c r="F15" s="9">
        <v>3</v>
      </c>
      <c r="G15" s="9">
        <v>4</v>
      </c>
      <c r="I15" s="9">
        <v>1</v>
      </c>
      <c r="J15" s="9">
        <v>2</v>
      </c>
      <c r="K15" s="9">
        <v>3</v>
      </c>
      <c r="L15" s="9">
        <v>4</v>
      </c>
      <c r="N15" s="9">
        <v>1</v>
      </c>
      <c r="O15" s="9">
        <v>2</v>
      </c>
      <c r="P15" s="9">
        <v>3</v>
      </c>
      <c r="Q15" s="9">
        <v>4</v>
      </c>
      <c r="S15" s="9">
        <v>1</v>
      </c>
      <c r="T15" s="9">
        <v>2</v>
      </c>
      <c r="U15" s="9">
        <v>3</v>
      </c>
      <c r="V15" s="9">
        <v>4</v>
      </c>
    </row>
    <row r="16" spans="2:22">
      <c r="B16" s="14"/>
      <c r="C16" s="15"/>
      <c r="D16" s="15"/>
      <c r="E16" s="15"/>
      <c r="F16" s="15"/>
      <c r="G16" s="15"/>
      <c r="H16"/>
      <c r="I16" s="15"/>
      <c r="J16" s="15"/>
      <c r="K16" s="15"/>
      <c r="L16" s="15"/>
      <c r="M16"/>
      <c r="N16" s="15"/>
      <c r="O16" s="15"/>
      <c r="P16" s="15"/>
      <c r="Q16" s="15"/>
      <c r="R16"/>
      <c r="S16" s="15"/>
      <c r="T16" s="15"/>
      <c r="U16" s="15"/>
      <c r="V16" s="15"/>
    </row>
    <row r="17" spans="2:22">
      <c r="B17" s="16">
        <v>1</v>
      </c>
      <c r="C17" s="17" t="str">
        <f>cansole1!A3</f>
        <v>Laptop</v>
      </c>
      <c r="D17" s="18">
        <v>350000</v>
      </c>
      <c r="E17" s="18">
        <v>400015</v>
      </c>
      <c r="F17" s="18">
        <v>800000</v>
      </c>
      <c r="G17" s="18">
        <v>1190000</v>
      </c>
      <c r="H17"/>
      <c r="I17" s="18">
        <v>50000</v>
      </c>
      <c r="J17" s="18">
        <v>100005</v>
      </c>
      <c r="K17" s="18">
        <v>200000</v>
      </c>
      <c r="L17" s="18">
        <v>320000</v>
      </c>
      <c r="M17"/>
      <c r="N17" s="18">
        <v>200000</v>
      </c>
      <c r="O17" s="18">
        <v>200005</v>
      </c>
      <c r="P17" s="18">
        <v>400000</v>
      </c>
      <c r="Q17" s="18">
        <v>450000</v>
      </c>
      <c r="R17"/>
      <c r="S17" s="18">
        <v>116666.666666667</v>
      </c>
      <c r="T17" s="18">
        <v>133338.333333333</v>
      </c>
      <c r="U17" s="18">
        <v>266666.666666667</v>
      </c>
      <c r="V17" s="18">
        <v>396666.666666667</v>
      </c>
    </row>
    <row r="18" spans="2:22">
      <c r="B18" s="16">
        <v>2</v>
      </c>
      <c r="C18" s="17" t="str">
        <f>cansole1!A4</f>
        <v>Mobile</v>
      </c>
      <c r="D18" s="18">
        <v>700000</v>
      </c>
      <c r="E18" s="18">
        <v>1020000</v>
      </c>
      <c r="F18" s="18">
        <v>800000</v>
      </c>
      <c r="G18" s="18">
        <v>1600000</v>
      </c>
      <c r="H18"/>
      <c r="I18" s="18">
        <v>200000</v>
      </c>
      <c r="J18" s="18">
        <v>320000</v>
      </c>
      <c r="K18" s="18">
        <v>200000</v>
      </c>
      <c r="L18" s="18">
        <v>400000</v>
      </c>
      <c r="M18"/>
      <c r="N18" s="18">
        <v>300000</v>
      </c>
      <c r="O18" s="18">
        <v>350000</v>
      </c>
      <c r="P18" s="18">
        <v>300000</v>
      </c>
      <c r="Q18" s="18">
        <v>700000</v>
      </c>
      <c r="R18"/>
      <c r="S18" s="18">
        <v>233333.333333333</v>
      </c>
      <c r="T18" s="18">
        <v>340000</v>
      </c>
      <c r="U18" s="18">
        <v>266666.666666667</v>
      </c>
      <c r="V18" s="18">
        <v>533333.333333333</v>
      </c>
    </row>
    <row r="19" ht="30" spans="2:22">
      <c r="B19" s="16">
        <v>3</v>
      </c>
      <c r="C19" s="19" t="str">
        <f>cansole1!A5</f>
        <v>Washing Machine</v>
      </c>
      <c r="D19" s="18">
        <v>370000</v>
      </c>
      <c r="E19" s="18">
        <v>430003</v>
      </c>
      <c r="F19" s="18">
        <v>480000</v>
      </c>
      <c r="G19" s="18">
        <v>510009</v>
      </c>
      <c r="H19"/>
      <c r="I19" s="18">
        <v>100000</v>
      </c>
      <c r="J19" s="18">
        <v>120001</v>
      </c>
      <c r="K19" s="18">
        <v>150000</v>
      </c>
      <c r="L19" s="18">
        <v>160003</v>
      </c>
      <c r="M19"/>
      <c r="N19" s="18">
        <v>150000</v>
      </c>
      <c r="O19" s="18">
        <v>160001</v>
      </c>
      <c r="P19" s="18">
        <v>180000</v>
      </c>
      <c r="Q19" s="18">
        <v>180003</v>
      </c>
      <c r="R19"/>
      <c r="S19" s="18">
        <v>123333.333333333</v>
      </c>
      <c r="T19" s="18">
        <v>143334.333333333</v>
      </c>
      <c r="U19" s="18">
        <v>160000</v>
      </c>
      <c r="V19" s="18">
        <v>170003</v>
      </c>
    </row>
    <row r="20" ht="30" spans="2:22">
      <c r="B20" s="16">
        <v>4</v>
      </c>
      <c r="C20" s="19" t="str">
        <f>cansole1!A6</f>
        <v>Smart Watches</v>
      </c>
      <c r="D20" s="18">
        <v>80000</v>
      </c>
      <c r="E20" s="18">
        <v>170003</v>
      </c>
      <c r="F20" s="18">
        <v>110018</v>
      </c>
      <c r="G20" s="18">
        <v>190021</v>
      </c>
      <c r="H20"/>
      <c r="I20" s="18">
        <v>20000</v>
      </c>
      <c r="J20" s="18">
        <v>50001</v>
      </c>
      <c r="K20" s="18">
        <v>30006</v>
      </c>
      <c r="L20" s="18">
        <v>60007</v>
      </c>
      <c r="M20"/>
      <c r="N20" s="18">
        <v>40000</v>
      </c>
      <c r="O20" s="18">
        <v>70001</v>
      </c>
      <c r="P20" s="18">
        <v>40006</v>
      </c>
      <c r="Q20" s="18">
        <v>70007</v>
      </c>
      <c r="R20"/>
      <c r="S20" s="18">
        <v>26666.6666666667</v>
      </c>
      <c r="T20" s="18">
        <v>56667.6666666667</v>
      </c>
      <c r="U20" s="18">
        <v>36672.6666666667</v>
      </c>
      <c r="V20" s="18">
        <v>63340.3333333333</v>
      </c>
    </row>
    <row r="21" spans="2:22">
      <c r="B21" s="16">
        <v>5</v>
      </c>
      <c r="C21" s="17" t="str">
        <f>cansole1!A7</f>
        <v>Tabs</v>
      </c>
      <c r="D21" s="18">
        <v>260000</v>
      </c>
      <c r="E21" s="18">
        <v>300003</v>
      </c>
      <c r="F21" s="18">
        <v>340006</v>
      </c>
      <c r="G21" s="18">
        <v>265009</v>
      </c>
      <c r="H21"/>
      <c r="I21" s="18">
        <v>70000</v>
      </c>
      <c r="J21" s="18">
        <v>100001</v>
      </c>
      <c r="K21" s="18">
        <v>80002</v>
      </c>
      <c r="L21" s="18">
        <v>85003</v>
      </c>
      <c r="M21"/>
      <c r="N21" s="18">
        <v>100000</v>
      </c>
      <c r="O21" s="18">
        <v>100001</v>
      </c>
      <c r="P21" s="18">
        <v>180002</v>
      </c>
      <c r="Q21" s="18">
        <v>95003</v>
      </c>
      <c r="R21"/>
      <c r="S21" s="18">
        <v>86666.6666666667</v>
      </c>
      <c r="T21" s="18">
        <v>100001</v>
      </c>
      <c r="U21" s="18">
        <v>113335.333333333</v>
      </c>
      <c r="V21" s="18">
        <v>88336.3333333333</v>
      </c>
    </row>
    <row r="22" ht="30" spans="2:22">
      <c r="B22" s="16">
        <v>6</v>
      </c>
      <c r="C22" s="19" t="str">
        <f>cansole1!A8</f>
        <v>Smart Pens</v>
      </c>
      <c r="D22" s="18">
        <v>63000</v>
      </c>
      <c r="E22" s="18">
        <v>84003</v>
      </c>
      <c r="F22" s="18">
        <v>95006</v>
      </c>
      <c r="G22" s="18">
        <v>109009</v>
      </c>
      <c r="H22"/>
      <c r="I22" s="18">
        <v>20000</v>
      </c>
      <c r="J22" s="18">
        <v>24001</v>
      </c>
      <c r="K22" s="18">
        <v>25002</v>
      </c>
      <c r="L22" s="18">
        <v>33003</v>
      </c>
      <c r="M22"/>
      <c r="N22" s="18">
        <v>23000</v>
      </c>
      <c r="O22" s="18">
        <v>35001</v>
      </c>
      <c r="P22" s="18">
        <v>35002</v>
      </c>
      <c r="Q22" s="18">
        <v>43003</v>
      </c>
      <c r="R22"/>
      <c r="S22" s="18">
        <v>21000</v>
      </c>
      <c r="T22" s="18">
        <v>28001</v>
      </c>
      <c r="U22" s="18">
        <v>31668.6666666667</v>
      </c>
      <c r="V22" s="18">
        <v>36336.3333333333</v>
      </c>
    </row>
  </sheetData>
  <mergeCells count="22">
    <mergeCell ref="C14:G14"/>
    <mergeCell ref="I14:L14"/>
    <mergeCell ref="N14:Q14"/>
    <mergeCell ref="S14:V14"/>
    <mergeCell ref="B14:B16"/>
    <mergeCell ref="C15:C16"/>
    <mergeCell ref="D15:D16"/>
    <mergeCell ref="E15:E16"/>
    <mergeCell ref="F15:F16"/>
    <mergeCell ref="G15:G16"/>
    <mergeCell ref="I15:I16"/>
    <mergeCell ref="J15:J16"/>
    <mergeCell ref="K15:K16"/>
    <mergeCell ref="L15:L16"/>
    <mergeCell ref="N15:N16"/>
    <mergeCell ref="O15:O16"/>
    <mergeCell ref="P15:P16"/>
    <mergeCell ref="Q15:Q16"/>
    <mergeCell ref="S15:S16"/>
    <mergeCell ref="T15:T16"/>
    <mergeCell ref="U15:U16"/>
    <mergeCell ref="V15:V1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M9" sqref="M9"/>
    </sheetView>
  </sheetViews>
  <sheetFormatPr defaultColWidth="9.14285714285714" defaultRowHeight="15"/>
  <cols>
    <col min="1" max="1" width="30.8571428571429" customWidth="1"/>
    <col min="2" max="5" width="16.8571428571429" customWidth="1"/>
  </cols>
  <sheetData>
    <row r="1" ht="26.25" spans="1:5">
      <c r="A1" s="1" t="s">
        <v>89</v>
      </c>
      <c r="B1" s="1"/>
      <c r="C1" s="1"/>
      <c r="D1" s="1"/>
      <c r="E1" s="1"/>
    </row>
    <row r="2" ht="23.25" spans="1:12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  <c r="H2" s="3" t="s">
        <v>109</v>
      </c>
      <c r="I2" s="3"/>
      <c r="J2" s="3"/>
      <c r="K2" s="3"/>
      <c r="L2" s="3"/>
    </row>
    <row r="3" ht="23.25" spans="1:12">
      <c r="A3" s="2" t="s">
        <v>83</v>
      </c>
      <c r="B3" s="4">
        <v>100000</v>
      </c>
      <c r="C3" s="4">
        <v>100005</v>
      </c>
      <c r="D3" s="4">
        <v>200000</v>
      </c>
      <c r="E3" s="4">
        <v>320000</v>
      </c>
      <c r="H3" s="3" t="s">
        <v>110</v>
      </c>
      <c r="I3" s="3"/>
      <c r="J3" s="3"/>
      <c r="K3" s="3"/>
      <c r="L3" s="3"/>
    </row>
    <row r="4" ht="23.25" spans="1:12">
      <c r="A4" s="2" t="s">
        <v>84</v>
      </c>
      <c r="B4" s="4">
        <v>200000</v>
      </c>
      <c r="C4" s="4">
        <v>320000</v>
      </c>
      <c r="D4" s="4">
        <v>300000</v>
      </c>
      <c r="E4" s="4">
        <v>700000</v>
      </c>
      <c r="H4" s="3" t="s">
        <v>111</v>
      </c>
      <c r="I4" s="3"/>
      <c r="J4" s="3"/>
      <c r="K4" s="3"/>
      <c r="L4" s="3"/>
    </row>
    <row r="5" ht="23.25" spans="1:12">
      <c r="A5" s="2" t="s">
        <v>85</v>
      </c>
      <c r="B5" s="4">
        <v>100000</v>
      </c>
      <c r="C5" s="4">
        <v>150001</v>
      </c>
      <c r="D5" s="4">
        <v>150000</v>
      </c>
      <c r="E5" s="4">
        <v>180003</v>
      </c>
      <c r="H5" s="3" t="s">
        <v>112</v>
      </c>
      <c r="I5" s="3"/>
      <c r="J5" s="3"/>
      <c r="K5" s="3"/>
      <c r="L5" s="3"/>
    </row>
    <row r="6" ht="23.25" spans="1:12">
      <c r="A6" s="2" t="s">
        <v>86</v>
      </c>
      <c r="B6" s="4">
        <v>20000</v>
      </c>
      <c r="C6" s="4">
        <v>50001</v>
      </c>
      <c r="D6" s="4">
        <v>30006</v>
      </c>
      <c r="E6" s="4">
        <v>70007</v>
      </c>
      <c r="H6" s="3" t="s">
        <v>113</v>
      </c>
      <c r="I6" s="3"/>
      <c r="J6" s="3"/>
      <c r="K6" s="3"/>
      <c r="L6" s="3"/>
    </row>
    <row r="7" ht="23.25" spans="1:5">
      <c r="A7" s="2" t="s">
        <v>87</v>
      </c>
      <c r="B7" s="4">
        <v>100000</v>
      </c>
      <c r="C7" s="4">
        <v>100001</v>
      </c>
      <c r="D7" s="4">
        <v>80002</v>
      </c>
      <c r="E7" s="4">
        <v>95003</v>
      </c>
    </row>
    <row r="8" ht="23.25" spans="1:5">
      <c r="A8" s="2" t="s">
        <v>88</v>
      </c>
      <c r="B8" s="4">
        <v>20000</v>
      </c>
      <c r="C8" s="4">
        <v>35001</v>
      </c>
      <c r="D8" s="4">
        <v>35002</v>
      </c>
      <c r="E8" s="4">
        <v>43003</v>
      </c>
    </row>
    <row r="11" spans="1:5">
      <c r="A11" s="5" t="s">
        <v>79</v>
      </c>
      <c r="B11" s="5" t="s">
        <v>114</v>
      </c>
      <c r="C11" s="5" t="s">
        <v>82</v>
      </c>
      <c r="D11" s="6">
        <v>43003</v>
      </c>
      <c r="E11" s="5" t="s">
        <v>82</v>
      </c>
    </row>
    <row r="12" spans="1:5">
      <c r="A12" s="7">
        <f>MATCH(B2,A2:E2,0)</f>
        <v>2</v>
      </c>
      <c r="B12" s="7">
        <f>MATCH(A6,A6:E6,0)</f>
        <v>1</v>
      </c>
      <c r="C12" s="7">
        <f>MATCH(E2,A2:E2,0)</f>
        <v>5</v>
      </c>
      <c r="D12" s="7">
        <f>MATCH(E8,E1:E8,0)</f>
        <v>8</v>
      </c>
      <c r="E12" s="7">
        <f>MATCH(E2,E1:E8,0)</f>
        <v>2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City_and_State</vt:lpstr>
      <vt:lpstr>VlookUp</vt:lpstr>
      <vt:lpstr>Hookup</vt:lpstr>
      <vt:lpstr>Sales_data_set</vt:lpstr>
      <vt:lpstr>cansole1</vt:lpstr>
      <vt:lpstr>cansole2</vt:lpstr>
      <vt:lpstr>cansole3</vt:lpstr>
      <vt:lpstr>Cansolidate</vt:lpstr>
      <vt:lpstr>Match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DELL_8</dc:creator>
  <cp:lastModifiedBy>Quastech</cp:lastModifiedBy>
  <dcterms:created xsi:type="dcterms:W3CDTF">2024-02-28T06:48:00Z</dcterms:created>
  <dcterms:modified xsi:type="dcterms:W3CDTF">2025-12-04T08:38:38Z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7AF8E50F78404F238E0BF0A43FA30598_13</vt:lpwstr>
  </property>
  <property fmtid="{D5CDD505-2E9C-101B-9397-08002B2CF9AE}" pid="3" name="KSOProductBuildVer">
    <vt:lpwstr>1033-12.2.0.23155</vt:lpwstr>
  </property>
</Properties>
</file>