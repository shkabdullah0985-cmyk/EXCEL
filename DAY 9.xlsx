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LAH\Desktop\ABDULLAH\DATA SCIENCE\EXCEL\PRACTICAL\TRIAL\"/>
    </mc:Choice>
  </mc:AlternateContent>
  <xr:revisionPtr revIDLastSave="0" documentId="8_{E5D8102E-184C-4C70-8C93-9E18FD422E3B}" xr6:coauthVersionLast="47" xr6:coauthVersionMax="47" xr10:uidLastSave="{00000000-0000-0000-0000-000000000000}"/>
  <bookViews>
    <workbookView xWindow="-108" yWindow="-108" windowWidth="23256" windowHeight="12456" activeTab="2" xr2:uid="{A981937F-4627-4205-BE52-FADF3ACC3259}"/>
  </bookViews>
  <sheets>
    <sheet name="FILTER " sheetId="1" r:id="rId1"/>
    <sheet name="SEARCH" sheetId="2" r:id="rId2"/>
    <sheet name="IS NUMB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" l="1"/>
  <c r="C3" i="3"/>
  <c r="C4" i="3"/>
  <c r="C5" i="3"/>
  <c r="C6" i="3"/>
  <c r="C7" i="3"/>
  <c r="C8" i="3"/>
  <c r="C9" i="3"/>
  <c r="C10" i="3"/>
  <c r="C2" i="3"/>
  <c r="C3" i="2"/>
  <c r="C4" i="2"/>
  <c r="C5" i="2"/>
  <c r="C6" i="2"/>
  <c r="C7" i="2"/>
  <c r="C8" i="2"/>
  <c r="C9" i="2"/>
  <c r="C2" i="2"/>
  <c r="N6" i="1" a="1"/>
  <c r="N6" i="1" s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<sst xmlns="http://schemas.openxmlformats.org/spreadsheetml/2006/main" count="183" uniqueCount="90">
  <si>
    <t>ID</t>
  </si>
  <si>
    <t>NAME</t>
  </si>
  <si>
    <t>PRODUCT</t>
  </si>
  <si>
    <t>CATEGORY</t>
  </si>
  <si>
    <t>PRICE</t>
  </si>
  <si>
    <t>ORDER ID</t>
  </si>
  <si>
    <t>QUANTITY</t>
  </si>
  <si>
    <t>TOTAL AMOUNT</t>
  </si>
  <si>
    <t>CITY</t>
  </si>
  <si>
    <t>ORDER STATUS</t>
  </si>
  <si>
    <t>ALI</t>
  </si>
  <si>
    <t>RAHUL</t>
  </si>
  <si>
    <t>SARA</t>
  </si>
  <si>
    <t>CUSTOMER  NAME</t>
  </si>
  <si>
    <t>AMAN</t>
  </si>
  <si>
    <t>NEHA</t>
  </si>
  <si>
    <t>ARJUN</t>
  </si>
  <si>
    <t>FATIMA</t>
  </si>
  <si>
    <t>ROHAN</t>
  </si>
  <si>
    <t>ZOYA</t>
  </si>
  <si>
    <t>KARAN</t>
  </si>
  <si>
    <t>IMRAN</t>
  </si>
  <si>
    <t>POOJA</t>
  </si>
  <si>
    <t>SAMEER</t>
  </si>
  <si>
    <t>ANJALI</t>
  </si>
  <si>
    <t>YUSUF</t>
  </si>
  <si>
    <t>SNEHA</t>
  </si>
  <si>
    <t>DANISH</t>
  </si>
  <si>
    <t>RIYA</t>
  </si>
  <si>
    <t>AKASH</t>
  </si>
  <si>
    <t>AYESHA</t>
  </si>
  <si>
    <t>NIKHIL</t>
  </si>
  <si>
    <t>FARHAN</t>
  </si>
  <si>
    <t>KAVYA</t>
  </si>
  <si>
    <t>SALMAN</t>
  </si>
  <si>
    <t>MEENA</t>
  </si>
  <si>
    <t>IRFAN</t>
  </si>
  <si>
    <t>TINA</t>
  </si>
  <si>
    <t>SHUBHAM</t>
  </si>
  <si>
    <t>NOOR</t>
  </si>
  <si>
    <t>VARUN</t>
  </si>
  <si>
    <t>LAPTOP</t>
  </si>
  <si>
    <t>MOBILE</t>
  </si>
  <si>
    <t>HEADPHONES</t>
  </si>
  <si>
    <t>SHOES</t>
  </si>
  <si>
    <t>WATCH</t>
  </si>
  <si>
    <t>T-SHIRT</t>
  </si>
  <si>
    <t>HANDBAG</t>
  </si>
  <si>
    <t>TABLET</t>
  </si>
  <si>
    <t>KEYBOARD</t>
  </si>
  <si>
    <t>MOUSE</t>
  </si>
  <si>
    <t>DRESS</t>
  </si>
  <si>
    <t>MONITOR</t>
  </si>
  <si>
    <t>PRINTER</t>
  </si>
  <si>
    <t>CAMERA</t>
  </si>
  <si>
    <t>SPEAKER</t>
  </si>
  <si>
    <t>EARBUDS</t>
  </si>
  <si>
    <t>JEANS</t>
  </si>
  <si>
    <t xml:space="preserve">SMARTWATCH </t>
  </si>
  <si>
    <t>POWER BANK</t>
  </si>
  <si>
    <t>ELECTRONICS</t>
  </si>
  <si>
    <t>FASHION</t>
  </si>
  <si>
    <t>MUMBAI</t>
  </si>
  <si>
    <t>PUNE</t>
  </si>
  <si>
    <t>DELHI</t>
  </si>
  <si>
    <t>THANE</t>
  </si>
  <si>
    <t>BANGLORE</t>
  </si>
  <si>
    <t>HYDERABAD</t>
  </si>
  <si>
    <t>DELIVERED</t>
  </si>
  <si>
    <t>CANCELLED</t>
  </si>
  <si>
    <t>PENDING</t>
  </si>
  <si>
    <t xml:space="preserve">DATA </t>
  </si>
  <si>
    <t>DRAWER</t>
  </si>
  <si>
    <t>FILTER</t>
  </si>
  <si>
    <t>RAJ</t>
  </si>
  <si>
    <t>RAVI</t>
  </si>
  <si>
    <t>LALIT</t>
  </si>
  <si>
    <t>ADITYA</t>
  </si>
  <si>
    <t>ARUN</t>
  </si>
  <si>
    <t>SURAJ</t>
  </si>
  <si>
    <t>ATUL</t>
  </si>
  <si>
    <t>SEARCH</t>
  </si>
  <si>
    <t>SR NO</t>
  </si>
  <si>
    <t>IS NUMBER</t>
  </si>
  <si>
    <t>OMAN</t>
  </si>
  <si>
    <t>TAHA</t>
  </si>
  <si>
    <t>WAQAS</t>
  </si>
  <si>
    <t>MAHAD</t>
  </si>
  <si>
    <t>SR.NO</t>
  </si>
  <si>
    <t>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</si>
</sst>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3F7D-E30C-4B1B-8E35-1296BC067BFC}">
  <dimension ref="C2:V33"/>
  <sheetViews>
    <sheetView topLeftCell="F11" workbookViewId="0">
      <selection activeCell="M6" sqref="M6"/>
    </sheetView>
  </sheetViews>
  <sheetFormatPr defaultRowHeight="14.4" x14ac:dyDescent="0.3"/>
  <cols>
    <col min="3" max="3" width="17" customWidth="1"/>
    <col min="4" max="4" width="16.6640625" customWidth="1"/>
    <col min="5" max="5" width="14.77734375" customWidth="1"/>
    <col min="6" max="6" width="14.5546875" customWidth="1"/>
    <col min="7" max="7" width="11.77734375" customWidth="1"/>
    <col min="8" max="8" width="10.33203125" customWidth="1"/>
    <col min="9" max="9" width="14.5546875" customWidth="1"/>
    <col min="10" max="10" width="13.44140625" customWidth="1"/>
    <col min="11" max="11" width="14.33203125" customWidth="1"/>
    <col min="13" max="13" width="11.33203125" customWidth="1"/>
    <col min="14" max="14" width="12.109375" customWidth="1"/>
    <col min="15" max="15" width="13.44140625" customWidth="1"/>
    <col min="16" max="16" width="14.77734375" customWidth="1"/>
    <col min="17" max="17" width="18.109375" customWidth="1"/>
    <col min="22" max="22" width="11.5546875" customWidth="1"/>
  </cols>
  <sheetData>
    <row r="2" spans="3:22" ht="31.2" x14ac:dyDescent="0.6">
      <c r="C2" s="1" t="s">
        <v>71</v>
      </c>
      <c r="D2" s="1"/>
      <c r="E2" s="1"/>
      <c r="F2" s="1"/>
      <c r="G2" s="1"/>
      <c r="H2" s="1"/>
      <c r="I2" s="1"/>
      <c r="J2" s="1"/>
      <c r="K2" s="1"/>
    </row>
    <row r="3" spans="3:22" x14ac:dyDescent="0.3">
      <c r="C3" s="3" t="s">
        <v>5</v>
      </c>
      <c r="D3" s="3" t="s">
        <v>13</v>
      </c>
      <c r="E3" s="3" t="s">
        <v>2</v>
      </c>
      <c r="F3" s="3" t="s">
        <v>3</v>
      </c>
      <c r="G3" s="3" t="s">
        <v>6</v>
      </c>
      <c r="H3" s="3" t="s">
        <v>4</v>
      </c>
      <c r="I3" s="3" t="s">
        <v>7</v>
      </c>
      <c r="J3" s="3" t="s">
        <v>8</v>
      </c>
      <c r="K3" s="3" t="s">
        <v>9</v>
      </c>
    </row>
    <row r="4" spans="3:22" x14ac:dyDescent="0.3">
      <c r="C4" s="3">
        <v>101</v>
      </c>
      <c r="D4" s="3" t="s">
        <v>10</v>
      </c>
      <c r="E4" s="3" t="s">
        <v>41</v>
      </c>
      <c r="F4" s="3" t="s">
        <v>60</v>
      </c>
      <c r="G4" s="3">
        <v>1</v>
      </c>
      <c r="H4" s="3">
        <v>55000</v>
      </c>
      <c r="I4" s="3">
        <f>H4*G4</f>
        <v>55000</v>
      </c>
      <c r="J4" s="3" t="s">
        <v>62</v>
      </c>
      <c r="K4" s="3" t="s">
        <v>68</v>
      </c>
    </row>
    <row r="5" spans="3:22" x14ac:dyDescent="0.3">
      <c r="C5" s="3">
        <v>102</v>
      </c>
      <c r="D5" s="3" t="s">
        <v>11</v>
      </c>
      <c r="E5" s="3" t="s">
        <v>42</v>
      </c>
      <c r="F5" s="3" t="s">
        <v>60</v>
      </c>
      <c r="G5" s="3">
        <v>1</v>
      </c>
      <c r="H5" s="3">
        <v>18000</v>
      </c>
      <c r="I5" s="3">
        <f t="shared" ref="I5:I33" si="0">H5*G5</f>
        <v>18000</v>
      </c>
      <c r="J5" s="3" t="s">
        <v>63</v>
      </c>
      <c r="K5" s="3" t="s">
        <v>68</v>
      </c>
      <c r="M5" s="3" t="s">
        <v>72</v>
      </c>
      <c r="N5" s="4" t="s">
        <v>73</v>
      </c>
      <c r="O5" s="4"/>
      <c r="P5" s="4"/>
      <c r="Q5" s="4"/>
      <c r="R5" s="4"/>
      <c r="S5" s="4"/>
      <c r="T5" s="4"/>
      <c r="U5" s="4"/>
      <c r="V5" s="4"/>
    </row>
    <row r="6" spans="3:22" x14ac:dyDescent="0.3">
      <c r="C6" s="3">
        <v>103</v>
      </c>
      <c r="D6" s="3" t="s">
        <v>12</v>
      </c>
      <c r="E6" s="3" t="s">
        <v>43</v>
      </c>
      <c r="F6" s="3" t="s">
        <v>60</v>
      </c>
      <c r="G6" s="3">
        <v>1</v>
      </c>
      <c r="H6" s="3">
        <v>2500</v>
      </c>
      <c r="I6" s="3">
        <f t="shared" si="0"/>
        <v>2500</v>
      </c>
      <c r="J6" s="3" t="s">
        <v>64</v>
      </c>
      <c r="K6" s="3" t="s">
        <v>69</v>
      </c>
      <c r="M6" s="2" t="s">
        <v>70</v>
      </c>
      <c r="N6" s="2" cm="1">
        <f t="array" ref="N6:V10">_xlfn._xlws.FILTER(C3:K33,K3:K33=M6,"NO DATA FOUND")</f>
        <v>106</v>
      </c>
      <c r="O6" s="2" t="str">
        <v>ARJUN</v>
      </c>
      <c r="P6" s="2" t="str">
        <v>LAPTOP</v>
      </c>
      <c r="Q6" s="2" t="str">
        <v>ELECTRONICS</v>
      </c>
      <c r="R6" s="2">
        <v>1</v>
      </c>
      <c r="S6" s="2">
        <v>60000</v>
      </c>
      <c r="T6" s="2">
        <v>60000</v>
      </c>
      <c r="U6" s="2" t="str">
        <v>BANGLORE</v>
      </c>
      <c r="V6" s="2" t="str">
        <v>PENDING</v>
      </c>
    </row>
    <row r="7" spans="3:22" x14ac:dyDescent="0.3">
      <c r="C7" s="3">
        <v>104</v>
      </c>
      <c r="D7" s="3" t="s">
        <v>14</v>
      </c>
      <c r="E7" s="3" t="s">
        <v>44</v>
      </c>
      <c r="F7" s="3" t="s">
        <v>61</v>
      </c>
      <c r="G7" s="3">
        <v>1</v>
      </c>
      <c r="H7" s="3">
        <v>3200</v>
      </c>
      <c r="I7" s="3">
        <f t="shared" si="0"/>
        <v>3200</v>
      </c>
      <c r="J7" s="3" t="s">
        <v>62</v>
      </c>
      <c r="K7" s="3" t="s">
        <v>68</v>
      </c>
      <c r="M7" s="2"/>
      <c r="N7" s="2">
        <v>109</v>
      </c>
      <c r="O7" s="2" t="str">
        <v>ZOYA</v>
      </c>
      <c r="P7" s="2" t="str">
        <v>HANDBAG</v>
      </c>
      <c r="Q7" s="2" t="str">
        <v>FASHION</v>
      </c>
      <c r="R7" s="2">
        <v>1</v>
      </c>
      <c r="S7" s="2">
        <v>2800</v>
      </c>
      <c r="T7" s="2">
        <v>2800</v>
      </c>
      <c r="U7" s="2" t="str">
        <v>MUMBAI</v>
      </c>
      <c r="V7" s="2" t="str">
        <v>PENDING</v>
      </c>
    </row>
    <row r="8" spans="3:22" x14ac:dyDescent="0.3">
      <c r="C8" s="3">
        <v>105</v>
      </c>
      <c r="D8" s="3" t="s">
        <v>15</v>
      </c>
      <c r="E8" s="3" t="s">
        <v>45</v>
      </c>
      <c r="F8" s="3" t="s">
        <v>61</v>
      </c>
      <c r="G8" s="3">
        <v>1</v>
      </c>
      <c r="H8" s="3">
        <v>4500</v>
      </c>
      <c r="I8" s="3">
        <f t="shared" si="0"/>
        <v>4500</v>
      </c>
      <c r="J8" s="3" t="s">
        <v>65</v>
      </c>
      <c r="K8" s="3" t="s">
        <v>68</v>
      </c>
      <c r="M8" s="2"/>
      <c r="N8" s="2">
        <v>116</v>
      </c>
      <c r="O8" s="2" t="str">
        <v>SNEHA</v>
      </c>
      <c r="P8" s="2" t="str">
        <v>DRESS</v>
      </c>
      <c r="Q8" s="2" t="str">
        <v>FASHION</v>
      </c>
      <c r="R8" s="2">
        <v>1</v>
      </c>
      <c r="S8" s="2">
        <v>12000</v>
      </c>
      <c r="T8" s="2">
        <v>12000</v>
      </c>
      <c r="U8" s="2" t="str">
        <v>BANGLORE</v>
      </c>
      <c r="V8" s="2" t="str">
        <v>PENDING</v>
      </c>
    </row>
    <row r="9" spans="3:22" x14ac:dyDescent="0.3">
      <c r="C9" s="3">
        <v>106</v>
      </c>
      <c r="D9" s="3" t="s">
        <v>16</v>
      </c>
      <c r="E9" s="3" t="s">
        <v>41</v>
      </c>
      <c r="F9" s="3" t="s">
        <v>60</v>
      </c>
      <c r="G9" s="3">
        <v>1</v>
      </c>
      <c r="H9" s="3">
        <v>60000</v>
      </c>
      <c r="I9" s="3">
        <f t="shared" si="0"/>
        <v>60000</v>
      </c>
      <c r="J9" s="3" t="s">
        <v>66</v>
      </c>
      <c r="K9" s="3" t="s">
        <v>70</v>
      </c>
      <c r="M9" s="2"/>
      <c r="N9" s="2">
        <v>120</v>
      </c>
      <c r="O9" s="2" t="str">
        <v>AYESHA</v>
      </c>
      <c r="P9" s="2" t="str">
        <v>CAMERA</v>
      </c>
      <c r="Q9" s="2" t="str">
        <v>ELECTRONICS</v>
      </c>
      <c r="R9" s="2">
        <v>2</v>
      </c>
      <c r="S9" s="2">
        <v>3000</v>
      </c>
      <c r="T9" s="2">
        <v>6000</v>
      </c>
      <c r="U9" s="2" t="str">
        <v>DELHI</v>
      </c>
      <c r="V9" s="2" t="str">
        <v>PENDING</v>
      </c>
    </row>
    <row r="10" spans="3:22" x14ac:dyDescent="0.3">
      <c r="C10" s="3">
        <v>107</v>
      </c>
      <c r="D10" s="3" t="s">
        <v>17</v>
      </c>
      <c r="E10" s="3" t="s">
        <v>42</v>
      </c>
      <c r="F10" s="3" t="s">
        <v>60</v>
      </c>
      <c r="G10" s="3">
        <v>2</v>
      </c>
      <c r="H10" s="3">
        <v>22000</v>
      </c>
      <c r="I10" s="3">
        <f t="shared" si="0"/>
        <v>44000</v>
      </c>
      <c r="J10" s="3" t="s">
        <v>67</v>
      </c>
      <c r="K10" s="3" t="s">
        <v>68</v>
      </c>
      <c r="M10" s="2"/>
      <c r="N10" s="2">
        <v>125</v>
      </c>
      <c r="O10" s="2" t="str">
        <v>MEENA</v>
      </c>
      <c r="P10" s="2" t="str">
        <v>HANDBAG</v>
      </c>
      <c r="Q10" s="2" t="str">
        <v>FASHION</v>
      </c>
      <c r="R10" s="2">
        <v>1</v>
      </c>
      <c r="S10" s="2">
        <v>28000</v>
      </c>
      <c r="T10" s="2">
        <v>28000</v>
      </c>
      <c r="U10" s="2" t="str">
        <v>PUNE</v>
      </c>
      <c r="V10" s="2" t="str">
        <v>PENDING</v>
      </c>
    </row>
    <row r="11" spans="3:22" x14ac:dyDescent="0.3">
      <c r="C11" s="3">
        <v>108</v>
      </c>
      <c r="D11" s="3" t="s">
        <v>18</v>
      </c>
      <c r="E11" s="3" t="s">
        <v>46</v>
      </c>
      <c r="F11" s="3" t="s">
        <v>61</v>
      </c>
      <c r="G11" s="3">
        <v>1</v>
      </c>
      <c r="H11" s="3">
        <v>1200</v>
      </c>
      <c r="I11" s="3">
        <f t="shared" si="0"/>
        <v>1200</v>
      </c>
      <c r="J11" s="3" t="s">
        <v>63</v>
      </c>
      <c r="K11" s="3" t="s">
        <v>68</v>
      </c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3:22" x14ac:dyDescent="0.3">
      <c r="C12" s="3">
        <v>109</v>
      </c>
      <c r="D12" s="3" t="s">
        <v>19</v>
      </c>
      <c r="E12" s="3" t="s">
        <v>47</v>
      </c>
      <c r="F12" s="3" t="s">
        <v>61</v>
      </c>
      <c r="G12" s="3">
        <v>1</v>
      </c>
      <c r="H12" s="3">
        <v>2800</v>
      </c>
      <c r="I12" s="3">
        <f t="shared" si="0"/>
        <v>2800</v>
      </c>
      <c r="J12" s="3" t="s">
        <v>62</v>
      </c>
      <c r="K12" s="3" t="s">
        <v>70</v>
      </c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3:22" x14ac:dyDescent="0.3">
      <c r="C13" s="3">
        <v>110</v>
      </c>
      <c r="D13" s="3" t="s">
        <v>20</v>
      </c>
      <c r="E13" s="3" t="s">
        <v>48</v>
      </c>
      <c r="F13" s="3" t="s">
        <v>60</v>
      </c>
      <c r="G13" s="3">
        <v>1</v>
      </c>
      <c r="H13" s="3">
        <v>30000</v>
      </c>
      <c r="I13" s="3">
        <f t="shared" si="0"/>
        <v>30000</v>
      </c>
      <c r="J13" s="3" t="s">
        <v>64</v>
      </c>
      <c r="K13" s="3" t="s">
        <v>68</v>
      </c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3:22" x14ac:dyDescent="0.3">
      <c r="C14" s="3">
        <v>111</v>
      </c>
      <c r="D14" s="3" t="s">
        <v>21</v>
      </c>
      <c r="E14" s="3" t="s">
        <v>49</v>
      </c>
      <c r="F14" s="3" t="s">
        <v>60</v>
      </c>
      <c r="G14" s="3">
        <v>1</v>
      </c>
      <c r="H14" s="3">
        <v>1500</v>
      </c>
      <c r="I14" s="3">
        <f t="shared" si="0"/>
        <v>1500</v>
      </c>
      <c r="J14" s="3" t="s">
        <v>62</v>
      </c>
      <c r="K14" s="3" t="s">
        <v>68</v>
      </c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3:22" x14ac:dyDescent="0.3">
      <c r="C15" s="3">
        <v>112</v>
      </c>
      <c r="D15" s="3" t="s">
        <v>22</v>
      </c>
      <c r="E15" s="3" t="s">
        <v>50</v>
      </c>
      <c r="F15" s="3" t="s">
        <v>60</v>
      </c>
      <c r="G15" s="3">
        <v>2</v>
      </c>
      <c r="H15" s="3">
        <v>800</v>
      </c>
      <c r="I15" s="3">
        <f t="shared" si="0"/>
        <v>1600</v>
      </c>
      <c r="J15" s="3" t="s">
        <v>65</v>
      </c>
      <c r="K15" s="3" t="s">
        <v>68</v>
      </c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3:22" x14ac:dyDescent="0.3">
      <c r="C16" s="3">
        <v>113</v>
      </c>
      <c r="D16" s="3" t="s">
        <v>23</v>
      </c>
      <c r="E16" s="3" t="s">
        <v>44</v>
      </c>
      <c r="F16" s="3" t="s">
        <v>61</v>
      </c>
      <c r="G16" s="3">
        <v>2</v>
      </c>
      <c r="H16" s="3">
        <v>3500</v>
      </c>
      <c r="I16" s="3">
        <f t="shared" si="0"/>
        <v>7000</v>
      </c>
      <c r="J16" s="3" t="s">
        <v>63</v>
      </c>
      <c r="K16" s="3" t="s">
        <v>69</v>
      </c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3:22" x14ac:dyDescent="0.3">
      <c r="C17" s="3">
        <v>114</v>
      </c>
      <c r="D17" s="3" t="s">
        <v>24</v>
      </c>
      <c r="E17" s="3" t="s">
        <v>41</v>
      </c>
      <c r="F17" s="3" t="s">
        <v>60</v>
      </c>
      <c r="G17" s="3">
        <v>3</v>
      </c>
      <c r="H17" s="3">
        <v>52000</v>
      </c>
      <c r="I17" s="3">
        <f t="shared" si="0"/>
        <v>156000</v>
      </c>
      <c r="J17" s="3" t="s">
        <v>64</v>
      </c>
      <c r="K17" s="3" t="s">
        <v>68</v>
      </c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3:22" x14ac:dyDescent="0.3">
      <c r="C18" s="3">
        <v>115</v>
      </c>
      <c r="D18" s="3" t="s">
        <v>25</v>
      </c>
      <c r="E18" s="3" t="s">
        <v>42</v>
      </c>
      <c r="F18" s="3" t="s">
        <v>60</v>
      </c>
      <c r="G18" s="3">
        <v>1</v>
      </c>
      <c r="H18" s="3">
        <v>17000</v>
      </c>
      <c r="I18" s="3">
        <f t="shared" si="0"/>
        <v>17000</v>
      </c>
      <c r="J18" s="3" t="s">
        <v>62</v>
      </c>
      <c r="K18" s="3" t="s">
        <v>68</v>
      </c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3:22" x14ac:dyDescent="0.3">
      <c r="C19" s="3">
        <v>116</v>
      </c>
      <c r="D19" s="3" t="s">
        <v>26</v>
      </c>
      <c r="E19" s="3" t="s">
        <v>51</v>
      </c>
      <c r="F19" s="3" t="s">
        <v>61</v>
      </c>
      <c r="G19" s="3">
        <v>1</v>
      </c>
      <c r="H19" s="3">
        <v>12000</v>
      </c>
      <c r="I19" s="3">
        <f t="shared" si="0"/>
        <v>12000</v>
      </c>
      <c r="J19" s="3" t="s">
        <v>66</v>
      </c>
      <c r="K19" s="3" t="s">
        <v>70</v>
      </c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3:22" x14ac:dyDescent="0.3">
      <c r="C20" s="3">
        <v>117</v>
      </c>
      <c r="D20" s="3" t="s">
        <v>27</v>
      </c>
      <c r="E20" s="3" t="s">
        <v>52</v>
      </c>
      <c r="F20" s="3" t="s">
        <v>60</v>
      </c>
      <c r="G20" s="3">
        <v>1</v>
      </c>
      <c r="H20" s="3">
        <v>5000</v>
      </c>
      <c r="I20" s="3">
        <f t="shared" si="0"/>
        <v>5000</v>
      </c>
      <c r="J20" s="3" t="s">
        <v>67</v>
      </c>
      <c r="K20" s="3" t="s">
        <v>68</v>
      </c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3:22" x14ac:dyDescent="0.3">
      <c r="C21" s="3">
        <v>118</v>
      </c>
      <c r="D21" s="3" t="s">
        <v>28</v>
      </c>
      <c r="E21" s="3" t="s">
        <v>45</v>
      </c>
      <c r="F21" s="3" t="s">
        <v>60</v>
      </c>
      <c r="G21" s="3">
        <v>2</v>
      </c>
      <c r="H21" s="3">
        <v>9000</v>
      </c>
      <c r="I21" s="3">
        <f t="shared" si="0"/>
        <v>18000</v>
      </c>
      <c r="J21" s="3" t="s">
        <v>62</v>
      </c>
      <c r="K21" s="3" t="s">
        <v>68</v>
      </c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3:22" x14ac:dyDescent="0.3">
      <c r="C22" s="3">
        <v>119</v>
      </c>
      <c r="D22" s="3" t="s">
        <v>29</v>
      </c>
      <c r="E22" s="3" t="s">
        <v>53</v>
      </c>
      <c r="F22" s="3" t="s">
        <v>60</v>
      </c>
      <c r="G22" s="3">
        <v>1</v>
      </c>
      <c r="H22" s="3">
        <v>45000</v>
      </c>
      <c r="I22" s="3">
        <f t="shared" si="0"/>
        <v>45000</v>
      </c>
      <c r="J22" s="3" t="s">
        <v>63</v>
      </c>
      <c r="K22" s="3" t="s">
        <v>68</v>
      </c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3:22" x14ac:dyDescent="0.3">
      <c r="C23" s="3">
        <v>120</v>
      </c>
      <c r="D23" s="3" t="s">
        <v>30</v>
      </c>
      <c r="E23" s="3" t="s">
        <v>54</v>
      </c>
      <c r="F23" s="3" t="s">
        <v>60</v>
      </c>
      <c r="G23" s="3">
        <v>2</v>
      </c>
      <c r="H23" s="3">
        <v>3000</v>
      </c>
      <c r="I23" s="3">
        <f t="shared" si="0"/>
        <v>6000</v>
      </c>
      <c r="J23" s="3" t="s">
        <v>64</v>
      </c>
      <c r="K23" s="3" t="s">
        <v>70</v>
      </c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3:22" x14ac:dyDescent="0.3">
      <c r="C24" s="3">
        <v>121</v>
      </c>
      <c r="D24" s="3" t="s">
        <v>31</v>
      </c>
      <c r="E24" s="3" t="s">
        <v>44</v>
      </c>
      <c r="F24" s="3" t="s">
        <v>61</v>
      </c>
      <c r="G24" s="3">
        <v>2</v>
      </c>
      <c r="H24" s="3">
        <v>65000</v>
      </c>
      <c r="I24" s="3">
        <f t="shared" si="0"/>
        <v>130000</v>
      </c>
      <c r="J24" s="3" t="s">
        <v>65</v>
      </c>
      <c r="K24" s="3" t="s">
        <v>68</v>
      </c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3:22" x14ac:dyDescent="0.3">
      <c r="C25" s="3">
        <v>122</v>
      </c>
      <c r="D25" s="3" t="s">
        <v>32</v>
      </c>
      <c r="E25" s="3" t="s">
        <v>41</v>
      </c>
      <c r="F25" s="3" t="s">
        <v>60</v>
      </c>
      <c r="G25" s="3">
        <v>1</v>
      </c>
      <c r="H25" s="3">
        <v>21000</v>
      </c>
      <c r="I25" s="3">
        <f t="shared" si="0"/>
        <v>21000</v>
      </c>
      <c r="J25" s="3" t="s">
        <v>62</v>
      </c>
      <c r="K25" s="3" t="s">
        <v>68</v>
      </c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3:22" x14ac:dyDescent="0.3">
      <c r="C26" s="3">
        <v>123</v>
      </c>
      <c r="D26" s="3" t="s">
        <v>33</v>
      </c>
      <c r="E26" s="3" t="s">
        <v>42</v>
      </c>
      <c r="F26" s="3" t="s">
        <v>60</v>
      </c>
      <c r="G26" s="3">
        <v>1</v>
      </c>
      <c r="H26" s="3">
        <v>5500</v>
      </c>
      <c r="I26" s="3">
        <f t="shared" si="0"/>
        <v>5500</v>
      </c>
      <c r="J26" s="3" t="s">
        <v>66</v>
      </c>
      <c r="K26" s="3" t="s">
        <v>68</v>
      </c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3:22" x14ac:dyDescent="0.3">
      <c r="C27" s="3">
        <v>124</v>
      </c>
      <c r="D27" s="3" t="s">
        <v>34</v>
      </c>
      <c r="E27" s="3" t="s">
        <v>55</v>
      </c>
      <c r="F27" s="3" t="s">
        <v>60</v>
      </c>
      <c r="G27" s="3">
        <v>1</v>
      </c>
      <c r="H27" s="3">
        <v>3800</v>
      </c>
      <c r="I27" s="3">
        <f t="shared" si="0"/>
        <v>3800</v>
      </c>
      <c r="J27" s="3" t="s">
        <v>67</v>
      </c>
      <c r="K27" s="3" t="s">
        <v>68</v>
      </c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3:22" x14ac:dyDescent="0.3">
      <c r="C28" s="3">
        <v>125</v>
      </c>
      <c r="D28" s="3" t="s">
        <v>35</v>
      </c>
      <c r="E28" s="3" t="s">
        <v>47</v>
      </c>
      <c r="F28" s="3" t="s">
        <v>61</v>
      </c>
      <c r="G28" s="3">
        <v>1</v>
      </c>
      <c r="H28" s="3">
        <v>28000</v>
      </c>
      <c r="I28" s="3">
        <f t="shared" si="0"/>
        <v>28000</v>
      </c>
      <c r="J28" s="3" t="s">
        <v>63</v>
      </c>
      <c r="K28" s="3" t="s">
        <v>70</v>
      </c>
    </row>
    <row r="29" spans="3:22" x14ac:dyDescent="0.3">
      <c r="C29" s="3">
        <v>126</v>
      </c>
      <c r="D29" s="3" t="s">
        <v>36</v>
      </c>
      <c r="E29" s="3" t="s">
        <v>48</v>
      </c>
      <c r="F29" s="3" t="s">
        <v>60</v>
      </c>
      <c r="G29" s="3">
        <v>1</v>
      </c>
      <c r="H29" s="3">
        <v>3500</v>
      </c>
      <c r="I29" s="3">
        <f t="shared" si="0"/>
        <v>3500</v>
      </c>
      <c r="J29" s="3" t="s">
        <v>62</v>
      </c>
      <c r="K29" s="3" t="s">
        <v>68</v>
      </c>
    </row>
    <row r="30" spans="3:22" x14ac:dyDescent="0.3">
      <c r="C30" s="3">
        <v>127</v>
      </c>
      <c r="D30" s="3" t="s">
        <v>37</v>
      </c>
      <c r="E30" s="3" t="s">
        <v>56</v>
      </c>
      <c r="F30" s="3" t="s">
        <v>60</v>
      </c>
      <c r="G30" s="3">
        <v>1</v>
      </c>
      <c r="H30" s="3">
        <v>2600</v>
      </c>
      <c r="I30" s="3">
        <f t="shared" si="0"/>
        <v>2600</v>
      </c>
      <c r="J30" s="3" t="s">
        <v>64</v>
      </c>
      <c r="K30" s="3" t="s">
        <v>68</v>
      </c>
    </row>
    <row r="31" spans="3:22" x14ac:dyDescent="0.3">
      <c r="C31" s="3">
        <v>128</v>
      </c>
      <c r="D31" s="3" t="s">
        <v>38</v>
      </c>
      <c r="E31" s="3" t="s">
        <v>57</v>
      </c>
      <c r="F31" s="3" t="s">
        <v>60</v>
      </c>
      <c r="G31" s="3">
        <v>1</v>
      </c>
      <c r="H31" s="3">
        <v>8000</v>
      </c>
      <c r="I31" s="3">
        <f t="shared" si="0"/>
        <v>8000</v>
      </c>
      <c r="J31" s="3" t="s">
        <v>65</v>
      </c>
      <c r="K31" s="3" t="s">
        <v>68</v>
      </c>
    </row>
    <row r="32" spans="3:22" x14ac:dyDescent="0.3">
      <c r="C32" s="3">
        <v>129</v>
      </c>
      <c r="D32" s="3" t="s">
        <v>39</v>
      </c>
      <c r="E32" s="3" t="s">
        <v>58</v>
      </c>
      <c r="F32" s="3" t="s">
        <v>60</v>
      </c>
      <c r="G32" s="3">
        <v>1</v>
      </c>
      <c r="H32" s="3">
        <v>2000</v>
      </c>
      <c r="I32" s="3">
        <f t="shared" si="0"/>
        <v>2000</v>
      </c>
      <c r="J32" s="3" t="s">
        <v>62</v>
      </c>
      <c r="K32" s="3" t="s">
        <v>68</v>
      </c>
    </row>
    <row r="33" spans="3:11" x14ac:dyDescent="0.3">
      <c r="C33" s="3">
        <v>130</v>
      </c>
      <c r="D33" s="3" t="s">
        <v>40</v>
      </c>
      <c r="E33" s="3" t="s">
        <v>59</v>
      </c>
      <c r="F33" s="3" t="s">
        <v>60</v>
      </c>
      <c r="G33" s="3">
        <v>2</v>
      </c>
      <c r="H33" s="3">
        <v>4000</v>
      </c>
      <c r="I33" s="3">
        <f t="shared" si="0"/>
        <v>8000</v>
      </c>
      <c r="J33" s="3" t="s">
        <v>63</v>
      </c>
      <c r="K33" s="3" t="s">
        <v>69</v>
      </c>
    </row>
  </sheetData>
  <mergeCells count="2">
    <mergeCell ref="C2:K2"/>
    <mergeCell ref="N5:V5"/>
  </mergeCells>
  <dataValidations count="1">
    <dataValidation type="list" allowBlank="1" showInputMessage="1" showErrorMessage="1" sqref="M6" xr:uid="{442FFF02-969D-427C-905E-8DC8646211D0}">
      <formula1>$K$4:$K$33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7472-8FB7-4177-9D18-0D81445F2C3C}">
  <dimension ref="A1:C9"/>
  <sheetViews>
    <sheetView workbookViewId="0">
      <selection activeCell="F7" sqref="F7"/>
    </sheetView>
  </sheetViews>
  <sheetFormatPr defaultRowHeight="14.4" x14ac:dyDescent="0.3"/>
  <sheetData>
    <row r="1" spans="1:3" x14ac:dyDescent="0.3">
      <c r="A1" s="3" t="s">
        <v>82</v>
      </c>
      <c r="B1" s="3" t="s">
        <v>1</v>
      </c>
      <c r="C1" s="3" t="s">
        <v>81</v>
      </c>
    </row>
    <row r="2" spans="1:3" x14ac:dyDescent="0.3">
      <c r="A2" s="2">
        <v>1</v>
      </c>
      <c r="B2" s="2" t="s">
        <v>74</v>
      </c>
      <c r="C2" s="2">
        <f>SEARCH("A",B2,1)</f>
        <v>2</v>
      </c>
    </row>
    <row r="3" spans="1:3" x14ac:dyDescent="0.3">
      <c r="A3" s="2">
        <v>2</v>
      </c>
      <c r="B3" s="2" t="s">
        <v>75</v>
      </c>
      <c r="C3" s="2">
        <f t="shared" ref="C3:C9" si="0">SEARCH("A",B3,1)</f>
        <v>2</v>
      </c>
    </row>
    <row r="4" spans="1:3" x14ac:dyDescent="0.3">
      <c r="A4" s="2">
        <v>3</v>
      </c>
      <c r="B4" s="2" t="s">
        <v>76</v>
      </c>
      <c r="C4" s="2">
        <f t="shared" si="0"/>
        <v>2</v>
      </c>
    </row>
    <row r="5" spans="1:3" x14ac:dyDescent="0.3">
      <c r="A5" s="2">
        <v>4</v>
      </c>
      <c r="B5" s="2" t="s">
        <v>77</v>
      </c>
      <c r="C5" s="2">
        <f t="shared" si="0"/>
        <v>1</v>
      </c>
    </row>
    <row r="6" spans="1:3" x14ac:dyDescent="0.3">
      <c r="A6" s="2">
        <v>5</v>
      </c>
      <c r="B6" s="2" t="s">
        <v>78</v>
      </c>
      <c r="C6" s="2">
        <f t="shared" si="0"/>
        <v>1</v>
      </c>
    </row>
    <row r="7" spans="1:3" x14ac:dyDescent="0.3">
      <c r="A7" s="2">
        <v>6</v>
      </c>
      <c r="B7" s="2" t="s">
        <v>40</v>
      </c>
      <c r="C7" s="2">
        <f t="shared" si="0"/>
        <v>2</v>
      </c>
    </row>
    <row r="8" spans="1:3" x14ac:dyDescent="0.3">
      <c r="A8" s="2">
        <v>7</v>
      </c>
      <c r="B8" s="2" t="s">
        <v>79</v>
      </c>
      <c r="C8" s="2">
        <f t="shared" si="0"/>
        <v>4</v>
      </c>
    </row>
    <row r="9" spans="1:3" x14ac:dyDescent="0.3">
      <c r="A9" s="2">
        <v>8</v>
      </c>
      <c r="B9" s="2" t="s">
        <v>80</v>
      </c>
      <c r="C9" s="2">
        <f t="shared" si="0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7658-4273-402C-AE65-12C753B426A8}">
  <dimension ref="A1:C11"/>
  <sheetViews>
    <sheetView tabSelected="1" workbookViewId="0">
      <selection activeCell="F6" sqref="F6"/>
    </sheetView>
  </sheetViews>
  <sheetFormatPr defaultRowHeight="14.4" x14ac:dyDescent="0.3"/>
  <cols>
    <col min="3" max="3" width="11.44140625" customWidth="1"/>
  </cols>
  <sheetData>
    <row r="1" spans="1:3" x14ac:dyDescent="0.3">
      <c r="A1" s="3" t="s">
        <v>88</v>
      </c>
      <c r="B1" s="3" t="s">
        <v>0</v>
      </c>
      <c r="C1" s="3" t="s">
        <v>83</v>
      </c>
    </row>
    <row r="2" spans="1:3" x14ac:dyDescent="0.3">
      <c r="A2" s="2">
        <v>1</v>
      </c>
      <c r="B2" s="2">
        <v>101</v>
      </c>
      <c r="C2" s="2" t="b">
        <f>ISNUMBER(B2)</f>
        <v>1</v>
      </c>
    </row>
    <row r="3" spans="1:3" x14ac:dyDescent="0.3">
      <c r="A3" s="2">
        <v>2</v>
      </c>
      <c r="B3" s="2" t="s">
        <v>10</v>
      </c>
      <c r="C3" s="2" t="b">
        <f t="shared" ref="C3:C11" si="0">ISNUMBER(B3)</f>
        <v>0</v>
      </c>
    </row>
    <row r="4" spans="1:3" x14ac:dyDescent="0.3">
      <c r="A4" s="2">
        <v>3</v>
      </c>
      <c r="B4" s="2">
        <v>104</v>
      </c>
      <c r="C4" s="2" t="b">
        <f t="shared" si="0"/>
        <v>1</v>
      </c>
    </row>
    <row r="5" spans="1:3" x14ac:dyDescent="0.3">
      <c r="A5" s="2">
        <v>4</v>
      </c>
      <c r="B5" s="2" t="s">
        <v>84</v>
      </c>
      <c r="C5" s="2" t="b">
        <f t="shared" si="0"/>
        <v>0</v>
      </c>
    </row>
    <row r="6" spans="1:3" x14ac:dyDescent="0.3">
      <c r="A6" s="2">
        <v>5</v>
      </c>
      <c r="B6" s="2" t="s">
        <v>85</v>
      </c>
      <c r="C6" s="2" t="b">
        <f t="shared" si="0"/>
        <v>0</v>
      </c>
    </row>
    <row r="7" spans="1:3" x14ac:dyDescent="0.3">
      <c r="A7" s="2">
        <v>6</v>
      </c>
      <c r="B7" s="2">
        <v>109</v>
      </c>
      <c r="C7" s="2" t="b">
        <f t="shared" si="0"/>
        <v>1</v>
      </c>
    </row>
    <row r="8" spans="1:3" x14ac:dyDescent="0.3">
      <c r="A8" s="2">
        <v>7</v>
      </c>
      <c r="B8" s="2" t="s">
        <v>86</v>
      </c>
      <c r="C8" s="2" t="b">
        <f t="shared" si="0"/>
        <v>0</v>
      </c>
    </row>
    <row r="9" spans="1:3" x14ac:dyDescent="0.3">
      <c r="A9" s="2">
        <v>8</v>
      </c>
      <c r="B9" s="2">
        <v>108</v>
      </c>
      <c r="C9" s="2" t="b">
        <f t="shared" si="0"/>
        <v>1</v>
      </c>
    </row>
    <row r="10" spans="1:3" x14ac:dyDescent="0.3">
      <c r="A10" s="2">
        <v>9</v>
      </c>
      <c r="B10" s="2" t="s">
        <v>87</v>
      </c>
      <c r="C10" s="2" t="b">
        <f t="shared" si="0"/>
        <v>0</v>
      </c>
    </row>
    <row r="11" spans="1:3" x14ac:dyDescent="0.3">
      <c r="A11" s="2">
        <v>10</v>
      </c>
      <c r="B11" s="2" t="s">
        <v>89</v>
      </c>
      <c r="C11" s="2" t="b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 </vt:lpstr>
      <vt:lpstr>SEARCH</vt:lpstr>
      <vt:lpstr>IS 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SHAIKH</dc:creator>
  <cp:lastModifiedBy>ABDULLAH SHAIKH</cp:lastModifiedBy>
  <dcterms:created xsi:type="dcterms:W3CDTF">2026-01-12T15:18:12Z</dcterms:created>
  <dcterms:modified xsi:type="dcterms:W3CDTF">2026-01-12T16:05:34Z</dcterms:modified>
</cp:coreProperties>
</file>